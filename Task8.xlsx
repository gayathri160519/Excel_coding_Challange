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Coding Challenge\"/>
    </mc:Choice>
  </mc:AlternateContent>
  <xr:revisionPtr revIDLastSave="0" documentId="13_ncr:1_{CC89D08F-D28E-4EC0-B536-1E84178B4FE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iginal dataset" sheetId="3" r:id="rId1"/>
    <sheet name="Task8" sheetId="1" r:id="rId2"/>
    <sheet name="Task-8" sheetId="4" r:id="rId3"/>
    <sheet name="observation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</calcChain>
</file>

<file path=xl/sharedStrings.xml><?xml version="1.0" encoding="utf-8"?>
<sst xmlns="http://schemas.openxmlformats.org/spreadsheetml/2006/main" count="2484" uniqueCount="310">
  <si>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</si>
  <si>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</si>
  <si>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</si>
  <si>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</si>
  <si>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</si>
  <si>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</si>
  <si>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</si>
  <si>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</si>
  <si>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</si>
  <si>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</si>
  <si>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</si>
  <si>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</si>
  <si>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</si>
  <si>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</si>
  <si>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</si>
  <si>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</si>
  <si>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</si>
  <si>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</si>
  <si>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</si>
  <si>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</si>
  <si>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</si>
  <si>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</si>
  <si>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</si>
  <si>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</si>
  <si>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</si>
  <si>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</si>
  <si>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</si>
  <si>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</si>
  <si>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</si>
  <si>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</si>
  <si>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</si>
  <si>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</si>
  <si>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</si>
  <si>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</si>
  <si>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</si>
  <si>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</si>
  <si>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</si>
  <si>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</si>
  <si>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</si>
  <si>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</si>
  <si>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</si>
  <si>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</si>
  <si>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</si>
  <si>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</si>
  <si>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</si>
  <si>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</si>
  <si>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</si>
  <si>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</si>
  <si>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</si>
  <si>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</si>
  <si>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</si>
  <si>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</si>
  <si>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</si>
  <si>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</si>
  <si>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</si>
  <si>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</si>
  <si>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</si>
  <si>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</si>
  <si>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</si>
  <si>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</si>
  <si>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</si>
  <si>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</si>
  <si>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</si>
  <si>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</si>
  <si>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</si>
  <si>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</si>
  <si>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</si>
  <si>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</si>
  <si>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</si>
  <si>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</si>
  <si>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</si>
  <si>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</si>
  <si>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</si>
  <si>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</si>
  <si>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</si>
  <si>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</si>
  <si>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</si>
  <si>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</si>
  <si>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</si>
  <si>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</si>
  <si>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</si>
  <si>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</si>
  <si>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</si>
  <si>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</si>
  <si>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</si>
  <si>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</si>
  <si>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</si>
  <si>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</si>
  <si>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</si>
  <si>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</si>
  <si>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</si>
  <si>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</si>
  <si>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</si>
  <si>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</si>
  <si>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</si>
  <si>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</si>
  <si>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</si>
  <si>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</si>
  <si>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</si>
  <si>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</si>
  <si>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</si>
  <si>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</si>
  <si>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</si>
  <si>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</si>
  <si>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</si>
  <si>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</si>
  <si>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</si>
  <si>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</si>
  <si>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</si>
  <si>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</si>
  <si>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</si>
  <si>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</si>
  <si>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</si>
  <si>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</si>
  <si>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</si>
  <si>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</si>
  <si>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</si>
  <si>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</si>
  <si>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</si>
  <si>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</si>
  <si>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</si>
  <si>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</si>
  <si>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</si>
  <si>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</si>
  <si>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</si>
  <si>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</si>
  <si>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</si>
  <si>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</si>
  <si>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</si>
  <si>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</si>
  <si>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</si>
  <si>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</si>
  <si>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</si>
  <si>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</si>
  <si>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</si>
  <si>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</si>
  <si>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</si>
  <si>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</si>
  <si>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</si>
  <si>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</si>
  <si>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</si>
  <si>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</si>
  <si>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</si>
  <si>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</si>
  <si>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</si>
  <si>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</si>
  <si>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</si>
  <si>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</si>
  <si>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</si>
  <si>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</si>
  <si>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</si>
  <si>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</si>
  <si>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</si>
  <si>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</si>
  <si>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</si>
  <si>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</si>
  <si>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</si>
  <si>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</si>
  <si>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</si>
  <si>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</si>
  <si>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</si>
  <si>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</si>
  <si>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</si>
  <si>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</si>
  <si>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</si>
  <si>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</si>
  <si>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</si>
  <si>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</si>
  <si>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</si>
  <si>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</si>
  <si>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</si>
  <si>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</si>
  <si>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</si>
  <si>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</si>
  <si>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</si>
  <si>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</si>
  <si>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</si>
  <si>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</si>
  <si>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</si>
  <si>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</si>
  <si>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</si>
  <si>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</si>
  <si>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</si>
  <si>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</si>
  <si>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</si>
  <si>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</si>
  <si>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</si>
  <si>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</si>
  <si>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</si>
  <si>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</si>
  <si>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</si>
  <si>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</si>
  <si>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</si>
  <si>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</si>
  <si>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</si>
  <si>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</si>
  <si>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</si>
  <si>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</si>
  <si>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</si>
  <si>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</si>
  <si>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</si>
  <si>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</si>
  <si>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</si>
  <si>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</si>
  <si>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</si>
  <si>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</si>
  <si>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</si>
  <si>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</si>
  <si>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</si>
  <si>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</si>
  <si>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</si>
  <si>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</si>
  <si>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</si>
  <si>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</si>
  <si>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</si>
  <si>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</si>
  <si>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</si>
  <si>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</si>
  <si>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</si>
  <si>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</si>
  <si>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</si>
  <si>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</si>
  <si>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</si>
  <si>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</si>
  <si>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</si>
  <si>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</si>
  <si>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</si>
  <si>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</si>
  <si>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</si>
  <si>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</si>
  <si>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</si>
  <si>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</si>
  <si>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</si>
  <si>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</si>
  <si>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</si>
  <si>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</si>
  <si>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</si>
  <si>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</si>
  <si>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</si>
  <si>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</si>
  <si>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</si>
  <si>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</si>
  <si>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</si>
  <si>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</si>
  <si>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</si>
  <si>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</si>
  <si>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</si>
  <si>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</si>
  <si>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</si>
  <si>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</si>
  <si>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</si>
  <si>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</si>
  <si>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</si>
  <si>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</si>
  <si>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</si>
  <si>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</si>
  <si>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</si>
  <si>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</si>
  <si>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</si>
  <si>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</si>
  <si>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</si>
  <si>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</si>
  <si>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</si>
  <si>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</si>
  <si>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</si>
  <si>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</si>
  <si>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</si>
  <si>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</si>
  <si>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</si>
  <si>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</si>
  <si>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</si>
  <si>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</si>
  <si>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</si>
  <si>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</si>
  <si>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</si>
  <si>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</si>
  <si>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</si>
  <si>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</si>
  <si>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</si>
  <si>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</si>
  <si>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</si>
  <si>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Replaced Name Column</t>
  </si>
  <si>
    <t>Replaced Dept</t>
  </si>
  <si>
    <t>Replaced Gender</t>
  </si>
  <si>
    <t>Replaced Performance Rating</t>
  </si>
  <si>
    <t>concatenated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</si>
  <si>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</si>
  <si>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</si>
  <si>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</si>
  <si>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</si>
  <si>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</si>
  <si>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</si>
  <si>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</si>
  <si>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</si>
  <si>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</si>
  <si>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</si>
  <si>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</si>
  <si>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</si>
  <si>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</si>
  <si>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</si>
  <si>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Name2</t>
  </si>
  <si>
    <t>Name3</t>
  </si>
  <si>
    <t>I practiced concat() to concatenate empid and name</t>
  </si>
  <si>
    <t>Flash Fill</t>
  </si>
  <si>
    <t>I used flashfill to display full names again</t>
  </si>
  <si>
    <t>trim</t>
  </si>
  <si>
    <t xml:space="preserve">I used trim() to fix messy data in salary column </t>
  </si>
  <si>
    <t>I created a column names as replaced name,dept and gender and Used if(isblank()) to replace blank cellls into unknown.(Task8 Sheet)</t>
  </si>
  <si>
    <t>I created a column name as replaced performance rating and Used if(isblank(g2,average(range)),g2) to replace blank cellls into unknown(Task8 Sheet)</t>
  </si>
  <si>
    <t>I used name column to split by using text to columns -&gt; delimitter            (Task-8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</si>
</sst>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4" fillId="0" borderId="2" xfId="0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4610100</xdr:colOff>
      <xdr:row>7</xdr:row>
      <xdr:rowOff>45720</xdr:rowOff>
    </xdr:from>
    <xdr:to>
      <xdr:col>1</xdr:col>
      <xdr:colOff>4655819</xdr:colOff>
      <xdr:row>11</xdr:row>
      <xdr:rowOff>30480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722DE0C4-777D-0A0B-CB70-B757218F8B59}"/>
            </a:ext>
          </a:extLst>
        </xdr:cNvPr>
        <xdr:cNvSpPr/>
      </xdr:nvSpPr>
      <xdr:spPr>
        <a:xfrm>
          <a:off x="5219700" y="1341120"/>
          <a:ext cx="45719" cy="7162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C03D2-6324-49AB-A089-C992B7C770C3}" name="Table1" displayName="Table1" ref="A1:K151" totalsRowShown="0" headerRowDxfId="13" headerRowBorderDxfId="12" tableBorderDxfId="11">
  <autoFilter ref="A1:K151" xr:uid="{7F8C03D2-6324-49AB-A089-C992B7C770C3}"/>
  <tableColumns count="11">
    <tableColumn id="1" xr3:uid="{A161A3C5-4FF6-4497-A479-333F0B954109}" name="Employee ID"/>
    <tableColumn id="2" xr3:uid="{863DF4AE-9A6E-4645-906D-5A725CFDE823}" name="Name"/>
    <tableColumn id="3" xr3:uid="{80D1F63B-E9A4-4DA4-9BA2-95C0BD7B5270}" name="Department"/>
    <tableColumn id="5" xr3:uid="{71DF842D-E5B9-4DFC-92EB-23D6B0F3BAF5}" name="Salary"/>
    <tableColumn id="6" xr3:uid="{138E36BF-3B62-4679-88BB-2A4AE09E65B7}" name="Date of Joining" dataDxfId="6"/>
    <tableColumn id="7" xr3:uid="{104865FB-8B51-4030-8FEB-95CA4BB39B44}" name="Performance Rating"/>
    <tableColumn id="8" xr3:uid="{BE929379-2E7A-46EF-A5B2-AA4F443FA385}" name="Gender"/>
    <tableColumn id="10" xr3:uid="{B4BEE855-8EF1-4FCF-9F83-1293823A689D}" name="Replaced Name Column" dataDxfId="10">
      <calculatedColumnFormula>IF(ISBLANK(B2), "Unknown",B2)</calculatedColumnFormula>
    </tableColumn>
    <tableColumn id="11" xr3:uid="{D279D543-0693-4829-B3D7-6A77AFC6B1FA}" name="Replaced Dept" dataDxfId="9">
      <calculatedColumnFormula>IF(ISBLANK(C2),"Unknown",C2)</calculatedColumnFormula>
    </tableColumn>
    <tableColumn id="12" xr3:uid="{11E6C3B3-12B3-4B5C-AE1B-3E4777E06699}" name="Replaced Gender" dataDxfId="8">
      <calculatedColumnFormula>IF(ISBLANK(G2),"Unknown",G2)</calculatedColumnFormula>
    </tableColumn>
    <tableColumn id="13" xr3:uid="{9FB01A3A-F356-438E-A0AC-3199CED42FCA}" name="Replaced Performance Rating" dataDxfId="7">
      <calculatedColumnFormula>IF(ISBLANK(F2),AVERAGE(Table1[Performance Rating]),F2)</calculatedColumnFormula>
    </tableColumn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A4F402-5CF7-4906-AF2D-48700DB9FBE1}" name="Table2" displayName="Table2" ref="A1:M151" totalsRowShown="0" headerRowDxfId="5" headerRowBorderDxfId="3" tableBorderDxfId="4">
  <autoFilter ref="A1:M151" xr:uid="{A8A4F402-5CF7-4906-AF2D-48700DB9FBE1}"/>
  <tableColumns count="13">
    <tableColumn id="1" xr3:uid="{030CBEB1-935C-4040-B8BF-64590EFDABBF}" name="Employee ID"/>
    <tableColumn id="2" xr3:uid="{166D3163-85EB-4F7E-8672-9B74C72902F5}" name="Name"/>
    <tableColumn id="3" xr3:uid="{D3402380-5DD6-40F2-928E-1DF6366D4E12}" name="Department"/>
    <tableColumn id="4" xr3:uid="{2F42E825-2AD4-4CE9-BCA0-1EB1E70B7650}" name="Salary"/>
    <tableColumn id="5" xr3:uid="{E5F21966-8D0E-4FBD-B36C-836274F2252B}" name="Date of Joining" dataDxfId="2"/>
    <tableColumn id="6" xr3:uid="{4B854316-DA2A-4136-A039-01C56AE08718}" name="Performance Rating"/>
    <tableColumn id="7" xr3:uid="{AE02D730-509D-4B3F-8448-D5A134B03B5D}" name="Gender"/>
    <tableColumn id="8" xr3:uid="{3DCAAB65-53E0-4AAD-AA94-6486AC6A6C4D}" name="Email"/>
    <tableColumn id="9" xr3:uid="{975F1766-65E1-499D-A434-7E2C7B9DC8F9}" name="concatenated" dataDxfId="1">
      <calculatedColumnFormula>_xlfn.CONCAT(A2, " ",B2)</calculatedColumnFormula>
    </tableColumn>
    <tableColumn id="11" xr3:uid="{5575B0A8-8A0F-4F3E-BF30-1A7DFA5C2A28}" name="Name2"/>
    <tableColumn id="12" xr3:uid="{EBF962D2-2CAA-4D0D-85D3-ECF376E927DF}" name="Name3"/>
    <tableColumn id="13" xr3:uid="{F40DAD26-9A83-46A3-91A4-419D4C877A29}" name="Flash Fill"/>
    <tableColumn id="14" xr3:uid="{EAC2F68F-C940-49B0-B588-336AF5E412B4}" name="trim" dataDxfId="0">
      <calculatedColumnFormula>TRIM(D2)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8CB6-68C2-473B-B796-4E3958AEEF60}">
  <dimension ref="A1:I151"/>
  <sheetViews>
    <sheetView workbookViewId="0">
      <selection sqref="A1:XFD1048576"/>
    </sheetView>
  </sheetViews>
  <sheetFormatPr defaultRowHeight="14.4" x14ac:dyDescent="0.3"/>
  <cols>
    <col min="6" max="6" width="18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opLeftCell="B1" workbookViewId="0">
      <selection activeCell="F10" sqref="F10"/>
    </sheetView>
  </sheetViews>
  <sheetFormatPr defaultRowHeight="14.4" x14ac:dyDescent="0.3"/>
  <cols>
    <col min="1" max="1" width="15.33203125" customWidth="1"/>
    <col min="2" max="2" width="15.5546875" customWidth="1"/>
    <col min="3" max="3" width="13" customWidth="1"/>
    <col min="5" max="5" width="18" customWidth="1"/>
    <col min="6" max="6" width="15" customWidth="1"/>
    <col min="7" max="7" width="18.88671875" customWidth="1"/>
    <col min="8" max="8" width="28.109375" customWidth="1"/>
    <col min="9" max="9" width="20.6640625" customWidth="1"/>
    <col min="10" max="10" width="16.88671875" customWidth="1"/>
    <col min="11" max="11" width="28" customWidth="1"/>
    <col min="12" max="12" width="25.7773437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281</v>
      </c>
      <c r="I1" s="2" t="s">
        <v>282</v>
      </c>
      <c r="J1" s="2" t="s">
        <v>283</v>
      </c>
      <c r="K1" s="2" t="s">
        <v>284</v>
      </c>
    </row>
    <row r="2" spans="1:11" x14ac:dyDescent="0.3">
      <c r="A2" t="s">
        <v>9</v>
      </c>
      <c r="C2" t="s">
        <v>166</v>
      </c>
      <c r="D2" t="s">
        <v>177</v>
      </c>
      <c r="E2" s="6"/>
      <c r="F2">
        <v>2</v>
      </c>
      <c r="G2" t="s">
        <v>178</v>
      </c>
      <c r="H2" t="str">
        <f>IF(ISBLANK(B2), "Unknown",B2)</f>
        <v>Unknown</v>
      </c>
      <c r="I2" t="str">
        <f>IF(ISBLANK(C2),"Unknown",C2)</f>
        <v>Finance</v>
      </c>
      <c r="J2" t="str">
        <f t="shared" ref="J2:J33" si="0">IF(ISBLANK(G2),"Unknown",G2)</f>
        <v>Unknown</v>
      </c>
      <c r="K2" s="5">
        <f>IF(ISBLANK(F2),AVERAGE(Table1[Performance Rating]),F2)</f>
        <v>2</v>
      </c>
    </row>
    <row r="3" spans="1:11" x14ac:dyDescent="0.3">
      <c r="A3" t="s">
        <v>10</v>
      </c>
      <c r="B3" t="s">
        <v>159</v>
      </c>
      <c r="C3" t="s">
        <v>167</v>
      </c>
      <c r="D3">
        <v>54255</v>
      </c>
      <c r="E3" s="6">
        <v>42015</v>
      </c>
      <c r="F3">
        <v>1</v>
      </c>
      <c r="G3" t="s">
        <v>179</v>
      </c>
      <c r="H3" t="str">
        <f>IF(ISBLANK(B3), "Unknown",B3)</f>
        <v>Eve Adams</v>
      </c>
      <c r="I3" t="str">
        <f>IF(ISBLANK(C3),"Unknown",C3)</f>
        <v>HR</v>
      </c>
      <c r="J3" t="str">
        <f t="shared" si="0"/>
        <v>Other</v>
      </c>
      <c r="K3" s="5">
        <f>IF(ISBLANK(F3),AVERAGE(Table1[Performance Rating]),F3)</f>
        <v>1</v>
      </c>
    </row>
    <row r="4" spans="1:11" x14ac:dyDescent="0.3">
      <c r="A4" t="s">
        <v>11</v>
      </c>
      <c r="B4" t="s">
        <v>160</v>
      </c>
      <c r="C4" t="s">
        <v>166</v>
      </c>
      <c r="D4">
        <v>63184</v>
      </c>
      <c r="E4" s="6">
        <v>42022</v>
      </c>
      <c r="F4">
        <v>2</v>
      </c>
      <c r="H4" t="str">
        <f>IF(ISBLANK(B4), "Unknown",B4)</f>
        <v>Alice Brown</v>
      </c>
      <c r="I4" t="str">
        <f>IF(ISBLANK(C4),"Unknown",C4)</f>
        <v>Finance</v>
      </c>
      <c r="J4" t="str">
        <f t="shared" si="0"/>
        <v>Unknown</v>
      </c>
      <c r="K4" s="5">
        <f>IF(ISBLANK(F4),AVERAGE(Table1[Performance Rating]),F4)</f>
        <v>2</v>
      </c>
    </row>
    <row r="5" spans="1:11" x14ac:dyDescent="0.3">
      <c r="A5" t="s">
        <v>12</v>
      </c>
      <c r="B5" t="s">
        <v>161</v>
      </c>
      <c r="C5" t="s">
        <v>168</v>
      </c>
      <c r="D5">
        <v>94406</v>
      </c>
      <c r="E5" s="6">
        <v>42029</v>
      </c>
      <c r="F5">
        <v>1</v>
      </c>
      <c r="G5" t="s">
        <v>180</v>
      </c>
      <c r="H5" t="str">
        <f>IF(ISBLANK(B5), "Unknown",B5)</f>
        <v>John Doe</v>
      </c>
      <c r="I5" t="str">
        <f>IF(ISBLANK(C5),"Unknown",C5)</f>
        <v>Sales</v>
      </c>
      <c r="J5" t="str">
        <f t="shared" si="0"/>
        <v>Male</v>
      </c>
      <c r="K5" s="5">
        <f>IF(ISBLANK(F5),AVERAGE(Table1[Performance Rating]),F5)</f>
        <v>1</v>
      </c>
    </row>
    <row r="6" spans="1:11" x14ac:dyDescent="0.3">
      <c r="A6" t="s">
        <v>13</v>
      </c>
      <c r="B6" t="s">
        <v>162</v>
      </c>
      <c r="C6" t="s">
        <v>168</v>
      </c>
      <c r="D6">
        <v>64120</v>
      </c>
      <c r="E6" s="6">
        <v>42036</v>
      </c>
      <c r="F6">
        <v>1</v>
      </c>
      <c r="G6" t="s">
        <v>180</v>
      </c>
      <c r="H6" t="str">
        <f>IF(ISBLANK(B6), "Unknown",B6)</f>
        <v>Jane Smith</v>
      </c>
      <c r="I6" t="str">
        <f>IF(ISBLANK(C6),"Unknown",C6)</f>
        <v>Sales</v>
      </c>
      <c r="J6" t="str">
        <f t="shared" si="0"/>
        <v>Male</v>
      </c>
      <c r="K6" s="5">
        <f>IF(ISBLANK(F6),AVERAGE(Table1[Performance Rating]),F6)</f>
        <v>1</v>
      </c>
    </row>
    <row r="7" spans="1:11" x14ac:dyDescent="0.3">
      <c r="A7" t="s">
        <v>14</v>
      </c>
      <c r="B7" t="s">
        <v>160</v>
      </c>
      <c r="C7" t="s">
        <v>169</v>
      </c>
      <c r="D7">
        <v>78421</v>
      </c>
      <c r="E7" s="6">
        <v>42043</v>
      </c>
      <c r="F7">
        <v>2</v>
      </c>
      <c r="G7" t="s">
        <v>181</v>
      </c>
      <c r="H7" t="str">
        <f>IF(ISBLANK(B7), "Unknown",B7)</f>
        <v>Alice Brown</v>
      </c>
      <c r="I7" t="str">
        <f>IF(ISBLANK(C7),"Unknown",C7)</f>
        <v>IT</v>
      </c>
      <c r="J7" t="str">
        <f t="shared" si="0"/>
        <v>Female</v>
      </c>
      <c r="K7" s="5">
        <f>IF(ISBLANK(F7),AVERAGE(Table1[Performance Rating]),F7)</f>
        <v>2</v>
      </c>
    </row>
    <row r="8" spans="1:11" x14ac:dyDescent="0.3">
      <c r="A8" t="s">
        <v>15</v>
      </c>
      <c r="B8" t="s">
        <v>163</v>
      </c>
      <c r="C8" t="s">
        <v>168</v>
      </c>
      <c r="D8">
        <v>67721</v>
      </c>
      <c r="E8" s="6">
        <v>42050</v>
      </c>
      <c r="G8" t="s">
        <v>180</v>
      </c>
      <c r="H8" t="str">
        <f>IF(ISBLANK(B8), "Unknown",B8)</f>
        <v>Sam Wilson</v>
      </c>
      <c r="I8" t="str">
        <f>IF(ISBLANK(C8),"Unknown",C8)</f>
        <v>Sales</v>
      </c>
      <c r="J8" t="str">
        <f t="shared" si="0"/>
        <v>Male</v>
      </c>
      <c r="K8" s="5">
        <f>IF(ISBLANK(F8),AVERAGE(Table1[Performance Rating]),F8)</f>
        <v>2.8719999999999999</v>
      </c>
    </row>
    <row r="9" spans="1:11" x14ac:dyDescent="0.3">
      <c r="A9" t="s">
        <v>16</v>
      </c>
      <c r="B9" t="s">
        <v>164</v>
      </c>
      <c r="C9" t="s">
        <v>170</v>
      </c>
      <c r="D9">
        <v>35364</v>
      </c>
      <c r="E9" s="6">
        <v>42057</v>
      </c>
      <c r="F9">
        <v>2</v>
      </c>
      <c r="G9" t="s">
        <v>179</v>
      </c>
      <c r="H9" t="str">
        <f>IF(ISBLANK(B9), "Unknown",B9)</f>
        <v>Chris Lee</v>
      </c>
      <c r="I9" t="str">
        <f>IF(ISBLANK(C9),"Unknown",C9)</f>
        <v>Marketing</v>
      </c>
      <c r="J9" t="str">
        <f t="shared" si="0"/>
        <v>Other</v>
      </c>
      <c r="K9" s="5">
        <f>IF(ISBLANK(F9),AVERAGE(Table1[Performance Rating]),F9)</f>
        <v>2</v>
      </c>
    </row>
    <row r="10" spans="1:11" x14ac:dyDescent="0.3">
      <c r="A10" t="s">
        <v>17</v>
      </c>
      <c r="B10" t="s">
        <v>160</v>
      </c>
      <c r="C10" t="s">
        <v>169</v>
      </c>
      <c r="D10">
        <v>97881</v>
      </c>
      <c r="E10" s="6">
        <v>42064</v>
      </c>
      <c r="G10" t="s">
        <v>181</v>
      </c>
      <c r="H10" t="str">
        <f>IF(ISBLANK(B10), "Unknown",B10)</f>
        <v>Alice Brown</v>
      </c>
      <c r="I10" t="str">
        <f>IF(ISBLANK(C10),"Unknown",C10)</f>
        <v>IT</v>
      </c>
      <c r="J10" t="str">
        <f t="shared" si="0"/>
        <v>Female</v>
      </c>
      <c r="K10" s="5">
        <f>IF(ISBLANK(F10),AVERAGE(Table1[Performance Rating]),F10)</f>
        <v>2.8719999999999999</v>
      </c>
    </row>
    <row r="11" spans="1:11" x14ac:dyDescent="0.3">
      <c r="A11" t="s">
        <v>18</v>
      </c>
      <c r="B11" t="s">
        <v>164</v>
      </c>
      <c r="C11" t="s">
        <v>167</v>
      </c>
      <c r="D11">
        <v>91846</v>
      </c>
      <c r="E11" s="6">
        <v>42071</v>
      </c>
      <c r="G11" t="s">
        <v>180</v>
      </c>
      <c r="H11" t="str">
        <f>IF(ISBLANK(B11), "Unknown",B11)</f>
        <v>Chris Lee</v>
      </c>
      <c r="I11" t="str">
        <f>IF(ISBLANK(C11),"Unknown",C11)</f>
        <v>HR</v>
      </c>
      <c r="J11" t="str">
        <f t="shared" si="0"/>
        <v>Male</v>
      </c>
      <c r="K11" s="5">
        <f>IF(ISBLANK(F11),AVERAGE(Table1[Performance Rating]),F11)</f>
        <v>2.8719999999999999</v>
      </c>
    </row>
    <row r="12" spans="1:11" x14ac:dyDescent="0.3">
      <c r="A12" t="s">
        <v>19</v>
      </c>
      <c r="B12" t="s">
        <v>163</v>
      </c>
      <c r="C12" t="s">
        <v>166</v>
      </c>
      <c r="D12">
        <v>64247</v>
      </c>
      <c r="E12" s="6">
        <v>42078</v>
      </c>
      <c r="F12">
        <v>1</v>
      </c>
      <c r="G12" t="s">
        <v>181</v>
      </c>
      <c r="H12" t="str">
        <f>IF(ISBLANK(B12), "Unknown",B12)</f>
        <v>Sam Wilson</v>
      </c>
      <c r="I12" t="str">
        <f>IF(ISBLANK(C12),"Unknown",C12)</f>
        <v>Finance</v>
      </c>
      <c r="J12" t="str">
        <f t="shared" si="0"/>
        <v>Female</v>
      </c>
      <c r="K12" s="5">
        <f>IF(ISBLANK(F12),AVERAGE(Table1[Performance Rating]),F12)</f>
        <v>1</v>
      </c>
    </row>
    <row r="13" spans="1:11" x14ac:dyDescent="0.3">
      <c r="A13" t="s">
        <v>20</v>
      </c>
      <c r="B13" t="s">
        <v>163</v>
      </c>
      <c r="C13" t="s">
        <v>169</v>
      </c>
      <c r="D13">
        <v>91180</v>
      </c>
      <c r="E13" s="6">
        <v>42085</v>
      </c>
      <c r="F13">
        <v>5</v>
      </c>
      <c r="G13" t="s">
        <v>180</v>
      </c>
      <c r="H13" t="str">
        <f>IF(ISBLANK(B13), "Unknown",B13)</f>
        <v>Sam Wilson</v>
      </c>
      <c r="I13" t="str">
        <f>IF(ISBLANK(C13),"Unknown",C13)</f>
        <v>IT</v>
      </c>
      <c r="J13" t="str">
        <f t="shared" si="0"/>
        <v>Male</v>
      </c>
      <c r="K13" s="5">
        <f>IF(ISBLANK(F13),AVERAGE(Table1[Performance Rating]),F13)</f>
        <v>5</v>
      </c>
    </row>
    <row r="14" spans="1:11" x14ac:dyDescent="0.3">
      <c r="A14" t="s">
        <v>21</v>
      </c>
      <c r="B14" t="s">
        <v>165</v>
      </c>
      <c r="C14" t="s">
        <v>168</v>
      </c>
      <c r="D14">
        <v>96418</v>
      </c>
      <c r="E14" s="6">
        <v>42092</v>
      </c>
      <c r="F14">
        <v>5</v>
      </c>
      <c r="G14" t="s">
        <v>180</v>
      </c>
      <c r="H14" t="str">
        <f>IF(ISBLANK(B14), "Unknown",B14)</f>
        <v>Bob Johnson</v>
      </c>
      <c r="I14" t="str">
        <f>IF(ISBLANK(C14),"Unknown",C14)</f>
        <v>Sales</v>
      </c>
      <c r="J14" t="str">
        <f t="shared" si="0"/>
        <v>Male</v>
      </c>
      <c r="K14" s="5">
        <f>IF(ISBLANK(F14),AVERAGE(Table1[Performance Rating]),F14)</f>
        <v>5</v>
      </c>
    </row>
    <row r="15" spans="1:11" x14ac:dyDescent="0.3">
      <c r="A15" t="s">
        <v>22</v>
      </c>
      <c r="B15" t="s">
        <v>163</v>
      </c>
      <c r="D15">
        <v>62158</v>
      </c>
      <c r="E15" s="6">
        <v>42099</v>
      </c>
      <c r="F15">
        <v>4</v>
      </c>
      <c r="H15" t="str">
        <f>IF(ISBLANK(B15), "Unknown",B15)</f>
        <v>Sam Wilson</v>
      </c>
      <c r="I15" t="str">
        <f>IF(ISBLANK(C15),"Unknown",C15)</f>
        <v>Unknown</v>
      </c>
      <c r="J15" t="str">
        <f t="shared" si="0"/>
        <v>Unknown</v>
      </c>
      <c r="K15" s="5">
        <f>IF(ISBLANK(F15),AVERAGE(Table1[Performance Rating]),F15)</f>
        <v>4</v>
      </c>
    </row>
    <row r="16" spans="1:11" x14ac:dyDescent="0.3">
      <c r="A16" t="s">
        <v>23</v>
      </c>
      <c r="B16" t="s">
        <v>162</v>
      </c>
      <c r="C16" t="s">
        <v>167</v>
      </c>
      <c r="D16">
        <v>59894</v>
      </c>
      <c r="E16" s="6">
        <v>42106</v>
      </c>
      <c r="F16">
        <v>2</v>
      </c>
      <c r="G16" t="s">
        <v>180</v>
      </c>
      <c r="H16" t="str">
        <f>IF(ISBLANK(B16), "Unknown",B16)</f>
        <v>Jane Smith</v>
      </c>
      <c r="I16" t="str">
        <f>IF(ISBLANK(C16),"Unknown",C16)</f>
        <v>HR</v>
      </c>
      <c r="J16" t="str">
        <f t="shared" si="0"/>
        <v>Male</v>
      </c>
      <c r="K16" s="5">
        <f>IF(ISBLANK(F16),AVERAGE(Table1[Performance Rating]),F16)</f>
        <v>2</v>
      </c>
    </row>
    <row r="17" spans="1:11" x14ac:dyDescent="0.3">
      <c r="A17" t="s">
        <v>24</v>
      </c>
      <c r="C17" t="s">
        <v>169</v>
      </c>
      <c r="D17">
        <v>92443</v>
      </c>
      <c r="E17" s="6">
        <v>42113</v>
      </c>
      <c r="F17">
        <v>3</v>
      </c>
      <c r="G17" t="s">
        <v>179</v>
      </c>
      <c r="H17" t="str">
        <f>IF(ISBLANK(B17), "Unknown",B17)</f>
        <v>Unknown</v>
      </c>
      <c r="I17" t="str">
        <f>IF(ISBLANK(C17),"Unknown",C17)</f>
        <v>IT</v>
      </c>
      <c r="J17" t="str">
        <f t="shared" si="0"/>
        <v>Other</v>
      </c>
      <c r="K17" s="5">
        <f>IF(ISBLANK(F17),AVERAGE(Table1[Performance Rating]),F17)</f>
        <v>3</v>
      </c>
    </row>
    <row r="18" spans="1:11" x14ac:dyDescent="0.3">
      <c r="A18" t="s">
        <v>25</v>
      </c>
      <c r="B18" t="s">
        <v>165</v>
      </c>
      <c r="D18">
        <v>90271</v>
      </c>
      <c r="E18" s="6">
        <v>42120</v>
      </c>
      <c r="H18" t="str">
        <f>IF(ISBLANK(B18), "Unknown",B18)</f>
        <v>Bob Johnson</v>
      </c>
      <c r="I18" t="str">
        <f>IF(ISBLANK(C18),"Unknown",C18)</f>
        <v>Unknown</v>
      </c>
      <c r="J18" t="str">
        <f t="shared" si="0"/>
        <v>Unknown</v>
      </c>
      <c r="K18" s="5">
        <f>IF(ISBLANK(F18),AVERAGE(Table1[Performance Rating]),F18)</f>
        <v>2.8719999999999999</v>
      </c>
    </row>
    <row r="19" spans="1:11" x14ac:dyDescent="0.3">
      <c r="A19" t="s">
        <v>26</v>
      </c>
      <c r="B19" t="s">
        <v>162</v>
      </c>
      <c r="C19" t="s">
        <v>166</v>
      </c>
      <c r="D19">
        <v>41341</v>
      </c>
      <c r="E19" s="6">
        <v>42127</v>
      </c>
      <c r="F19">
        <v>1</v>
      </c>
      <c r="G19" t="s">
        <v>179</v>
      </c>
      <c r="H19" t="str">
        <f>IF(ISBLANK(B19), "Unknown",B19)</f>
        <v>Jane Smith</v>
      </c>
      <c r="I19" t="str">
        <f>IF(ISBLANK(C19),"Unknown",C19)</f>
        <v>Finance</v>
      </c>
      <c r="J19" t="str">
        <f t="shared" si="0"/>
        <v>Other</v>
      </c>
      <c r="K19" s="5">
        <f>IF(ISBLANK(F19),AVERAGE(Table1[Performance Rating]),F19)</f>
        <v>1</v>
      </c>
    </row>
    <row r="20" spans="1:11" x14ac:dyDescent="0.3">
      <c r="A20" t="s">
        <v>27</v>
      </c>
      <c r="B20" t="s">
        <v>160</v>
      </c>
      <c r="C20" t="s">
        <v>166</v>
      </c>
      <c r="D20">
        <v>73602</v>
      </c>
      <c r="E20" s="6">
        <v>42134</v>
      </c>
      <c r="H20" t="str">
        <f>IF(ISBLANK(B20), "Unknown",B20)</f>
        <v>Alice Brown</v>
      </c>
      <c r="I20" t="str">
        <f>IF(ISBLANK(C20),"Unknown",C20)</f>
        <v>Finance</v>
      </c>
      <c r="J20" t="str">
        <f t="shared" si="0"/>
        <v>Unknown</v>
      </c>
      <c r="K20" s="5">
        <f>IF(ISBLANK(F20),AVERAGE(Table1[Performance Rating]),F20)</f>
        <v>2.8719999999999999</v>
      </c>
    </row>
    <row r="21" spans="1:11" x14ac:dyDescent="0.3">
      <c r="A21" t="s">
        <v>28</v>
      </c>
      <c r="B21" t="s">
        <v>159</v>
      </c>
      <c r="D21">
        <v>67531</v>
      </c>
      <c r="E21" s="6">
        <v>42141</v>
      </c>
      <c r="F21">
        <v>5</v>
      </c>
      <c r="G21" t="s">
        <v>181</v>
      </c>
      <c r="H21" t="str">
        <f>IF(ISBLANK(B21), "Unknown",B21)</f>
        <v>Eve Adams</v>
      </c>
      <c r="I21" t="str">
        <f>IF(ISBLANK(C21),"Unknown",C21)</f>
        <v>Unknown</v>
      </c>
      <c r="J21" t="str">
        <f t="shared" si="0"/>
        <v>Female</v>
      </c>
      <c r="K21" s="5">
        <f>IF(ISBLANK(F21),AVERAGE(Table1[Performance Rating]),F21)</f>
        <v>5</v>
      </c>
    </row>
    <row r="22" spans="1:11" x14ac:dyDescent="0.3">
      <c r="A22" t="s">
        <v>29</v>
      </c>
      <c r="B22" t="s">
        <v>162</v>
      </c>
      <c r="C22" t="s">
        <v>167</v>
      </c>
      <c r="D22" t="s">
        <v>177</v>
      </c>
      <c r="E22" s="6">
        <v>42148</v>
      </c>
      <c r="F22">
        <v>2</v>
      </c>
      <c r="G22" t="s">
        <v>179</v>
      </c>
      <c r="H22" t="str">
        <f>IF(ISBLANK(B22), "Unknown",B22)</f>
        <v>Jane Smith</v>
      </c>
      <c r="I22" t="str">
        <f>IF(ISBLANK(C22),"Unknown",C22)</f>
        <v>HR</v>
      </c>
      <c r="J22" t="str">
        <f t="shared" si="0"/>
        <v>Other</v>
      </c>
      <c r="K22" s="5">
        <f>IF(ISBLANK(F22),AVERAGE(Table1[Performance Rating]),F22)</f>
        <v>2</v>
      </c>
    </row>
    <row r="23" spans="1:11" x14ac:dyDescent="0.3">
      <c r="A23" t="s">
        <v>30</v>
      </c>
      <c r="B23" t="s">
        <v>162</v>
      </c>
      <c r="C23" t="s">
        <v>167</v>
      </c>
      <c r="D23">
        <v>98922</v>
      </c>
      <c r="E23" s="6">
        <v>42155</v>
      </c>
      <c r="F23">
        <v>4</v>
      </c>
      <c r="H23" t="str">
        <f>IF(ISBLANK(B23), "Unknown",B23)</f>
        <v>Jane Smith</v>
      </c>
      <c r="I23" t="str">
        <f>IF(ISBLANK(C23),"Unknown",C23)</f>
        <v>HR</v>
      </c>
      <c r="J23" t="str">
        <f t="shared" si="0"/>
        <v>Unknown</v>
      </c>
      <c r="K23" s="5">
        <f>IF(ISBLANK(F23),AVERAGE(Table1[Performance Rating]),F23)</f>
        <v>4</v>
      </c>
    </row>
    <row r="24" spans="1:11" x14ac:dyDescent="0.3">
      <c r="A24" t="s">
        <v>31</v>
      </c>
      <c r="B24" t="s">
        <v>159</v>
      </c>
      <c r="C24" t="s">
        <v>166</v>
      </c>
      <c r="D24">
        <v>38333</v>
      </c>
      <c r="E24" s="6">
        <v>42162</v>
      </c>
      <c r="F24">
        <v>5</v>
      </c>
      <c r="H24" t="str">
        <f>IF(ISBLANK(B24), "Unknown",B24)</f>
        <v>Eve Adams</v>
      </c>
      <c r="I24" t="str">
        <f>IF(ISBLANK(C24),"Unknown",C24)</f>
        <v>Finance</v>
      </c>
      <c r="J24" t="str">
        <f t="shared" si="0"/>
        <v>Unknown</v>
      </c>
      <c r="K24" s="5">
        <f>IF(ISBLANK(F24),AVERAGE(Table1[Performance Rating]),F24)</f>
        <v>5</v>
      </c>
    </row>
    <row r="25" spans="1:11" x14ac:dyDescent="0.3">
      <c r="A25" t="s">
        <v>32</v>
      </c>
      <c r="B25" t="s">
        <v>160</v>
      </c>
      <c r="C25" t="s">
        <v>170</v>
      </c>
      <c r="D25">
        <v>36515</v>
      </c>
      <c r="E25" s="6">
        <v>42169</v>
      </c>
      <c r="F25">
        <v>3</v>
      </c>
      <c r="G25" t="s">
        <v>180</v>
      </c>
      <c r="H25" t="str">
        <f>IF(ISBLANK(B25), "Unknown",B25)</f>
        <v>Alice Brown</v>
      </c>
      <c r="I25" t="str">
        <f>IF(ISBLANK(C25),"Unknown",C25)</f>
        <v>Marketing</v>
      </c>
      <c r="J25" t="str">
        <f t="shared" si="0"/>
        <v>Male</v>
      </c>
      <c r="K25" s="5">
        <f>IF(ISBLANK(F25),AVERAGE(Table1[Performance Rating]),F25)</f>
        <v>3</v>
      </c>
    </row>
    <row r="26" spans="1:11" x14ac:dyDescent="0.3">
      <c r="A26" t="s">
        <v>33</v>
      </c>
      <c r="B26" t="s">
        <v>163</v>
      </c>
      <c r="C26" t="s">
        <v>166</v>
      </c>
      <c r="D26">
        <v>91005</v>
      </c>
      <c r="E26" s="6">
        <v>42176</v>
      </c>
      <c r="F26">
        <v>1</v>
      </c>
      <c r="G26" t="s">
        <v>179</v>
      </c>
      <c r="H26" t="str">
        <f>IF(ISBLANK(B26), "Unknown",B26)</f>
        <v>Sam Wilson</v>
      </c>
      <c r="I26" t="str">
        <f>IF(ISBLANK(C26),"Unknown",C26)</f>
        <v>Finance</v>
      </c>
      <c r="J26" t="str">
        <f t="shared" si="0"/>
        <v>Other</v>
      </c>
      <c r="K26" s="5">
        <f>IF(ISBLANK(F26),AVERAGE(Table1[Performance Rating]),F26)</f>
        <v>1</v>
      </c>
    </row>
    <row r="27" spans="1:11" x14ac:dyDescent="0.3">
      <c r="A27" t="s">
        <v>34</v>
      </c>
      <c r="B27" t="s">
        <v>164</v>
      </c>
      <c r="D27">
        <v>52272</v>
      </c>
      <c r="E27" s="6">
        <v>42183</v>
      </c>
      <c r="F27">
        <v>3</v>
      </c>
      <c r="H27" t="str">
        <f>IF(ISBLANK(B27), "Unknown",B27)</f>
        <v>Chris Lee</v>
      </c>
      <c r="I27" t="str">
        <f>IF(ISBLANK(C27),"Unknown",C27)</f>
        <v>Unknown</v>
      </c>
      <c r="J27" t="str">
        <f t="shared" si="0"/>
        <v>Unknown</v>
      </c>
      <c r="K27" s="5">
        <f>IF(ISBLANK(F27),AVERAGE(Table1[Performance Rating]),F27)</f>
        <v>3</v>
      </c>
    </row>
    <row r="28" spans="1:11" x14ac:dyDescent="0.3">
      <c r="A28" t="s">
        <v>35</v>
      </c>
      <c r="B28" t="s">
        <v>159</v>
      </c>
      <c r="C28" t="s">
        <v>168</v>
      </c>
      <c r="D28">
        <v>76518</v>
      </c>
      <c r="E28" s="6">
        <v>42190</v>
      </c>
      <c r="F28">
        <v>2</v>
      </c>
      <c r="G28" t="s">
        <v>181</v>
      </c>
      <c r="H28" t="str">
        <f>IF(ISBLANK(B28), "Unknown",B28)</f>
        <v>Eve Adams</v>
      </c>
      <c r="I28" t="str">
        <f>IF(ISBLANK(C28),"Unknown",C28)</f>
        <v>Sales</v>
      </c>
      <c r="J28" t="str">
        <f t="shared" si="0"/>
        <v>Female</v>
      </c>
      <c r="K28" s="5">
        <f>IF(ISBLANK(F28),AVERAGE(Table1[Performance Rating]),F28)</f>
        <v>2</v>
      </c>
    </row>
    <row r="29" spans="1:11" x14ac:dyDescent="0.3">
      <c r="A29" t="s">
        <v>36</v>
      </c>
      <c r="B29" t="s">
        <v>160</v>
      </c>
      <c r="C29" t="s">
        <v>169</v>
      </c>
      <c r="D29">
        <v>41448</v>
      </c>
      <c r="E29" s="6">
        <v>42197</v>
      </c>
      <c r="F29">
        <v>3</v>
      </c>
      <c r="G29" t="s">
        <v>179</v>
      </c>
      <c r="H29" t="str">
        <f>IF(ISBLANK(B29), "Unknown",B29)</f>
        <v>Alice Brown</v>
      </c>
      <c r="I29" t="str">
        <f>IF(ISBLANK(C29),"Unknown",C29)</f>
        <v>IT</v>
      </c>
      <c r="J29" t="str">
        <f t="shared" si="0"/>
        <v>Other</v>
      </c>
      <c r="K29" s="5">
        <f>IF(ISBLANK(F29),AVERAGE(Table1[Performance Rating]),F29)</f>
        <v>3</v>
      </c>
    </row>
    <row r="30" spans="1:11" x14ac:dyDescent="0.3">
      <c r="A30" t="s">
        <v>37</v>
      </c>
      <c r="B30" t="s">
        <v>161</v>
      </c>
      <c r="C30" t="s">
        <v>167</v>
      </c>
      <c r="D30">
        <v>49282</v>
      </c>
      <c r="E30" s="6">
        <v>42204</v>
      </c>
      <c r="F30">
        <v>2</v>
      </c>
      <c r="G30" t="s">
        <v>181</v>
      </c>
      <c r="H30" t="str">
        <f>IF(ISBLANK(B30), "Unknown",B30)</f>
        <v>John Doe</v>
      </c>
      <c r="I30" t="str">
        <f>IF(ISBLANK(C30),"Unknown",C30)</f>
        <v>HR</v>
      </c>
      <c r="J30" t="str">
        <f t="shared" si="0"/>
        <v>Female</v>
      </c>
      <c r="K30" s="5">
        <f>IF(ISBLANK(F30),AVERAGE(Table1[Performance Rating]),F30)</f>
        <v>2</v>
      </c>
    </row>
    <row r="31" spans="1:11" x14ac:dyDescent="0.3">
      <c r="A31" t="s">
        <v>38</v>
      </c>
      <c r="B31" t="s">
        <v>165</v>
      </c>
      <c r="C31" t="s">
        <v>170</v>
      </c>
      <c r="D31">
        <v>92959</v>
      </c>
      <c r="E31" s="6">
        <v>42211</v>
      </c>
      <c r="F31">
        <v>5</v>
      </c>
      <c r="H31" t="str">
        <f>IF(ISBLANK(B31), "Unknown",B31)</f>
        <v>Bob Johnson</v>
      </c>
      <c r="I31" t="str">
        <f>IF(ISBLANK(C31),"Unknown",C31)</f>
        <v>Marketing</v>
      </c>
      <c r="J31" t="str">
        <f t="shared" si="0"/>
        <v>Unknown</v>
      </c>
      <c r="K31" s="5">
        <f>IF(ISBLANK(F31),AVERAGE(Table1[Performance Rating]),F31)</f>
        <v>5</v>
      </c>
    </row>
    <row r="32" spans="1:11" x14ac:dyDescent="0.3">
      <c r="A32" t="s">
        <v>39</v>
      </c>
      <c r="C32" t="s">
        <v>170</v>
      </c>
      <c r="D32">
        <v>92259</v>
      </c>
      <c r="E32" s="6"/>
      <c r="F32">
        <v>1</v>
      </c>
      <c r="G32" t="s">
        <v>178</v>
      </c>
      <c r="H32" t="str">
        <f>IF(ISBLANK(B32), "Unknown",B32)</f>
        <v>Unknown</v>
      </c>
      <c r="I32" t="str">
        <f>IF(ISBLANK(C32),"Unknown",C32)</f>
        <v>Marketing</v>
      </c>
      <c r="J32" t="str">
        <f t="shared" si="0"/>
        <v>Unknown</v>
      </c>
      <c r="K32" s="5">
        <f>IF(ISBLANK(F32),AVERAGE(Table1[Performance Rating]),F32)</f>
        <v>1</v>
      </c>
    </row>
    <row r="33" spans="1:11" x14ac:dyDescent="0.3">
      <c r="A33" t="s">
        <v>40</v>
      </c>
      <c r="B33" t="s">
        <v>159</v>
      </c>
      <c r="C33" t="s">
        <v>167</v>
      </c>
      <c r="D33">
        <v>92299</v>
      </c>
      <c r="E33" s="6">
        <v>42225</v>
      </c>
      <c r="F33">
        <v>3</v>
      </c>
      <c r="G33" t="s">
        <v>180</v>
      </c>
      <c r="H33" t="str">
        <f>IF(ISBLANK(B33), "Unknown",B33)</f>
        <v>Eve Adams</v>
      </c>
      <c r="I33" t="str">
        <f>IF(ISBLANK(C33),"Unknown",C33)</f>
        <v>HR</v>
      </c>
      <c r="J33" t="str">
        <f t="shared" si="0"/>
        <v>Male</v>
      </c>
      <c r="K33" s="5">
        <f>IF(ISBLANK(F33),AVERAGE(Table1[Performance Rating]),F33)</f>
        <v>3</v>
      </c>
    </row>
    <row r="34" spans="1:11" x14ac:dyDescent="0.3">
      <c r="A34" t="s">
        <v>41</v>
      </c>
      <c r="B34" t="s">
        <v>163</v>
      </c>
      <c r="C34" t="s">
        <v>167</v>
      </c>
      <c r="D34">
        <v>95586</v>
      </c>
      <c r="E34" s="6">
        <v>42232</v>
      </c>
      <c r="F34">
        <v>3</v>
      </c>
      <c r="G34" t="s">
        <v>179</v>
      </c>
      <c r="H34" t="str">
        <f>IF(ISBLANK(B34), "Unknown",B34)</f>
        <v>Sam Wilson</v>
      </c>
      <c r="I34" t="str">
        <f>IF(ISBLANK(C34),"Unknown",C34)</f>
        <v>HR</v>
      </c>
      <c r="J34" t="str">
        <f t="shared" ref="J34:J65" si="1">IF(ISBLANK(G34),"Unknown",G34)</f>
        <v>Other</v>
      </c>
      <c r="K34" s="5">
        <f>IF(ISBLANK(F34),AVERAGE(Table1[Performance Rating]),F34)</f>
        <v>3</v>
      </c>
    </row>
    <row r="35" spans="1:11" x14ac:dyDescent="0.3">
      <c r="A35" t="s">
        <v>42</v>
      </c>
      <c r="B35" t="s">
        <v>164</v>
      </c>
      <c r="D35">
        <v>95367</v>
      </c>
      <c r="E35" s="6">
        <v>42239</v>
      </c>
      <c r="G35" t="s">
        <v>180</v>
      </c>
      <c r="H35" t="str">
        <f>IF(ISBLANK(B35), "Unknown",B35)</f>
        <v>Chris Lee</v>
      </c>
      <c r="I35" t="str">
        <f>IF(ISBLANK(C35),"Unknown",C35)</f>
        <v>Unknown</v>
      </c>
      <c r="J35" t="str">
        <f t="shared" si="1"/>
        <v>Male</v>
      </c>
      <c r="K35" s="5">
        <f>IF(ISBLANK(F35),AVERAGE(Table1[Performance Rating]),F35)</f>
        <v>2.8719999999999999</v>
      </c>
    </row>
    <row r="36" spans="1:11" x14ac:dyDescent="0.3">
      <c r="A36" t="s">
        <v>43</v>
      </c>
      <c r="B36" t="s">
        <v>161</v>
      </c>
      <c r="C36" t="s">
        <v>168</v>
      </c>
      <c r="D36">
        <v>79549</v>
      </c>
      <c r="E36" s="6">
        <v>42246</v>
      </c>
      <c r="F36">
        <v>3</v>
      </c>
      <c r="H36" t="str">
        <f>IF(ISBLANK(B36), "Unknown",B36)</f>
        <v>John Doe</v>
      </c>
      <c r="I36" t="str">
        <f>IF(ISBLANK(C36),"Unknown",C36)</f>
        <v>Sales</v>
      </c>
      <c r="J36" t="str">
        <f t="shared" si="1"/>
        <v>Unknown</v>
      </c>
      <c r="K36" s="5">
        <f>IF(ISBLANK(F36),AVERAGE(Table1[Performance Rating]),F36)</f>
        <v>3</v>
      </c>
    </row>
    <row r="37" spans="1:11" x14ac:dyDescent="0.3">
      <c r="A37" t="s">
        <v>44</v>
      </c>
      <c r="B37" t="s">
        <v>160</v>
      </c>
      <c r="D37">
        <v>54463</v>
      </c>
      <c r="E37" s="6">
        <v>42253</v>
      </c>
      <c r="F37">
        <v>4</v>
      </c>
      <c r="G37" t="s">
        <v>180</v>
      </c>
      <c r="H37" t="str">
        <f>IF(ISBLANK(B37), "Unknown",B37)</f>
        <v>Alice Brown</v>
      </c>
      <c r="I37" t="str">
        <f>IF(ISBLANK(C37),"Unknown",C37)</f>
        <v>Unknown</v>
      </c>
      <c r="J37" t="str">
        <f t="shared" si="1"/>
        <v>Male</v>
      </c>
      <c r="K37" s="5">
        <f>IF(ISBLANK(F37),AVERAGE(Table1[Performance Rating]),F37)</f>
        <v>4</v>
      </c>
    </row>
    <row r="38" spans="1:11" x14ac:dyDescent="0.3">
      <c r="A38" t="s">
        <v>45</v>
      </c>
      <c r="B38" t="s">
        <v>160</v>
      </c>
      <c r="C38" t="s">
        <v>169</v>
      </c>
      <c r="D38">
        <v>89781</v>
      </c>
      <c r="E38" s="6">
        <v>42260</v>
      </c>
      <c r="G38" t="s">
        <v>181</v>
      </c>
      <c r="H38" t="str">
        <f>IF(ISBLANK(B38), "Unknown",B38)</f>
        <v>Alice Brown</v>
      </c>
      <c r="I38" t="str">
        <f>IF(ISBLANK(C38),"Unknown",C38)</f>
        <v>IT</v>
      </c>
      <c r="J38" t="str">
        <f t="shared" si="1"/>
        <v>Female</v>
      </c>
      <c r="K38" s="5">
        <f>IF(ISBLANK(F38),AVERAGE(Table1[Performance Rating]),F38)</f>
        <v>2.8719999999999999</v>
      </c>
    </row>
    <row r="39" spans="1:11" x14ac:dyDescent="0.3">
      <c r="A39" t="s">
        <v>46</v>
      </c>
      <c r="B39" t="s">
        <v>160</v>
      </c>
      <c r="C39" t="s">
        <v>167</v>
      </c>
      <c r="D39">
        <v>64796</v>
      </c>
      <c r="E39" s="6">
        <v>42267</v>
      </c>
      <c r="G39" t="s">
        <v>179</v>
      </c>
      <c r="H39" t="str">
        <f>IF(ISBLANK(B39), "Unknown",B39)</f>
        <v>Alice Brown</v>
      </c>
      <c r="I39" t="str">
        <f>IF(ISBLANK(C39),"Unknown",C39)</f>
        <v>HR</v>
      </c>
      <c r="J39" t="str">
        <f t="shared" si="1"/>
        <v>Other</v>
      </c>
      <c r="K39" s="5">
        <f>IF(ISBLANK(F39),AVERAGE(Table1[Performance Rating]),F39)</f>
        <v>2.8719999999999999</v>
      </c>
    </row>
    <row r="40" spans="1:11" x14ac:dyDescent="0.3">
      <c r="A40" t="s">
        <v>47</v>
      </c>
      <c r="B40" t="s">
        <v>161</v>
      </c>
      <c r="C40" t="s">
        <v>170</v>
      </c>
      <c r="D40">
        <v>52093</v>
      </c>
      <c r="E40" s="6">
        <v>42274</v>
      </c>
      <c r="F40">
        <v>5</v>
      </c>
      <c r="H40" t="str">
        <f>IF(ISBLANK(B40), "Unknown",B40)</f>
        <v>John Doe</v>
      </c>
      <c r="I40" t="str">
        <f>IF(ISBLANK(C40),"Unknown",C40)</f>
        <v>Marketing</v>
      </c>
      <c r="J40" t="str">
        <f t="shared" si="1"/>
        <v>Unknown</v>
      </c>
      <c r="K40" s="5">
        <f>IF(ISBLANK(F40),AVERAGE(Table1[Performance Rating]),F40)</f>
        <v>5</v>
      </c>
    </row>
    <row r="41" spans="1:11" x14ac:dyDescent="0.3">
      <c r="A41" t="s">
        <v>48</v>
      </c>
      <c r="B41" t="s">
        <v>164</v>
      </c>
      <c r="C41" t="s">
        <v>167</v>
      </c>
      <c r="D41">
        <v>48224</v>
      </c>
      <c r="E41" s="6">
        <v>42281</v>
      </c>
      <c r="F41">
        <v>3</v>
      </c>
      <c r="H41" t="str">
        <f>IF(ISBLANK(B41), "Unknown",B41)</f>
        <v>Chris Lee</v>
      </c>
      <c r="I41" t="str">
        <f>IF(ISBLANK(C41),"Unknown",C41)</f>
        <v>HR</v>
      </c>
      <c r="J41" t="str">
        <f t="shared" si="1"/>
        <v>Unknown</v>
      </c>
      <c r="K41" s="5">
        <f>IF(ISBLANK(F41),AVERAGE(Table1[Performance Rating]),F41)</f>
        <v>3</v>
      </c>
    </row>
    <row r="42" spans="1:11" x14ac:dyDescent="0.3">
      <c r="A42" t="s">
        <v>49</v>
      </c>
      <c r="B42" t="s">
        <v>165</v>
      </c>
      <c r="C42" t="s">
        <v>166</v>
      </c>
      <c r="D42" t="s">
        <v>177</v>
      </c>
      <c r="E42" s="6"/>
      <c r="F42">
        <v>4</v>
      </c>
      <c r="G42" t="s">
        <v>181</v>
      </c>
      <c r="H42" t="str">
        <f>IF(ISBLANK(B42), "Unknown",B42)</f>
        <v>Bob Johnson</v>
      </c>
      <c r="I42" t="str">
        <f>IF(ISBLANK(C42),"Unknown",C42)</f>
        <v>Finance</v>
      </c>
      <c r="J42" t="str">
        <f t="shared" si="1"/>
        <v>Female</v>
      </c>
      <c r="K42" s="5">
        <f>IF(ISBLANK(F42),AVERAGE(Table1[Performance Rating]),F42)</f>
        <v>4</v>
      </c>
    </row>
    <row r="43" spans="1:11" x14ac:dyDescent="0.3">
      <c r="A43" t="s">
        <v>50</v>
      </c>
      <c r="B43" t="s">
        <v>160</v>
      </c>
      <c r="C43" t="s">
        <v>169</v>
      </c>
      <c r="D43">
        <v>33956</v>
      </c>
      <c r="E43" s="6">
        <v>42295</v>
      </c>
      <c r="H43" t="str">
        <f>IF(ISBLANK(B43), "Unknown",B43)</f>
        <v>Alice Brown</v>
      </c>
      <c r="I43" t="str">
        <f>IF(ISBLANK(C43),"Unknown",C43)</f>
        <v>IT</v>
      </c>
      <c r="J43" t="str">
        <f t="shared" si="1"/>
        <v>Unknown</v>
      </c>
      <c r="K43" s="5">
        <f>IF(ISBLANK(F43),AVERAGE(Table1[Performance Rating]),F43)</f>
        <v>2.8719999999999999</v>
      </c>
    </row>
    <row r="44" spans="1:11" x14ac:dyDescent="0.3">
      <c r="A44" t="s">
        <v>51</v>
      </c>
      <c r="B44" t="s">
        <v>165</v>
      </c>
      <c r="D44">
        <v>64913</v>
      </c>
      <c r="E44" s="6">
        <v>42302</v>
      </c>
      <c r="F44">
        <v>1</v>
      </c>
      <c r="G44" t="s">
        <v>181</v>
      </c>
      <c r="H44" t="str">
        <f>IF(ISBLANK(B44), "Unknown",B44)</f>
        <v>Bob Johnson</v>
      </c>
      <c r="I44" t="str">
        <f>IF(ISBLANK(C44),"Unknown",C44)</f>
        <v>Unknown</v>
      </c>
      <c r="J44" t="str">
        <f t="shared" si="1"/>
        <v>Female</v>
      </c>
      <c r="K44" s="5">
        <f>IF(ISBLANK(F44),AVERAGE(Table1[Performance Rating]),F44)</f>
        <v>1</v>
      </c>
    </row>
    <row r="45" spans="1:11" x14ac:dyDescent="0.3">
      <c r="A45" t="s">
        <v>52</v>
      </c>
      <c r="B45" t="s">
        <v>160</v>
      </c>
      <c r="C45" t="s">
        <v>170</v>
      </c>
      <c r="D45">
        <v>35326</v>
      </c>
      <c r="E45" s="6">
        <v>42309</v>
      </c>
      <c r="G45" t="s">
        <v>181</v>
      </c>
      <c r="H45" t="str">
        <f>IF(ISBLANK(B45), "Unknown",B45)</f>
        <v>Alice Brown</v>
      </c>
      <c r="I45" t="str">
        <f>IF(ISBLANK(C45),"Unknown",C45)</f>
        <v>Marketing</v>
      </c>
      <c r="J45" t="str">
        <f t="shared" si="1"/>
        <v>Female</v>
      </c>
      <c r="K45" s="5">
        <f>IF(ISBLANK(F45),AVERAGE(Table1[Performance Rating]),F45)</f>
        <v>2.8719999999999999</v>
      </c>
    </row>
    <row r="46" spans="1:11" x14ac:dyDescent="0.3">
      <c r="A46" t="s">
        <v>53</v>
      </c>
      <c r="B46" t="s">
        <v>164</v>
      </c>
      <c r="C46" t="s">
        <v>166</v>
      </c>
      <c r="D46">
        <v>81610</v>
      </c>
      <c r="E46" s="6">
        <v>42316</v>
      </c>
      <c r="F46">
        <v>1</v>
      </c>
      <c r="H46" t="str">
        <f>IF(ISBLANK(B46), "Unknown",B46)</f>
        <v>Chris Lee</v>
      </c>
      <c r="I46" t="str">
        <f>IF(ISBLANK(C46),"Unknown",C46)</f>
        <v>Finance</v>
      </c>
      <c r="J46" t="str">
        <f t="shared" si="1"/>
        <v>Unknown</v>
      </c>
      <c r="K46" s="5">
        <f>IF(ISBLANK(F46),AVERAGE(Table1[Performance Rating]),F46)</f>
        <v>1</v>
      </c>
    </row>
    <row r="47" spans="1:11" x14ac:dyDescent="0.3">
      <c r="A47" t="s">
        <v>54</v>
      </c>
      <c r="C47" t="s">
        <v>167</v>
      </c>
      <c r="D47">
        <v>58962</v>
      </c>
      <c r="E47" s="6">
        <v>42323</v>
      </c>
      <c r="F47">
        <v>3</v>
      </c>
      <c r="G47" t="s">
        <v>179</v>
      </c>
      <c r="H47" t="str">
        <f>IF(ISBLANK(B47), "Unknown",B47)</f>
        <v>Unknown</v>
      </c>
      <c r="I47" t="str">
        <f>IF(ISBLANK(C47),"Unknown",C47)</f>
        <v>HR</v>
      </c>
      <c r="J47" t="str">
        <f t="shared" si="1"/>
        <v>Other</v>
      </c>
      <c r="K47" s="5">
        <f>IF(ISBLANK(F47),AVERAGE(Table1[Performance Rating]),F47)</f>
        <v>3</v>
      </c>
    </row>
    <row r="48" spans="1:11" x14ac:dyDescent="0.3">
      <c r="A48" t="s">
        <v>55</v>
      </c>
      <c r="B48" t="s">
        <v>164</v>
      </c>
      <c r="C48" t="s">
        <v>169</v>
      </c>
      <c r="D48">
        <v>92701</v>
      </c>
      <c r="E48" s="6">
        <v>42330</v>
      </c>
      <c r="F48">
        <v>3</v>
      </c>
      <c r="G48" t="s">
        <v>179</v>
      </c>
      <c r="H48" t="str">
        <f>IF(ISBLANK(B48), "Unknown",B48)</f>
        <v>Chris Lee</v>
      </c>
      <c r="I48" t="str">
        <f>IF(ISBLANK(C48),"Unknown",C48)</f>
        <v>IT</v>
      </c>
      <c r="J48" t="str">
        <f t="shared" si="1"/>
        <v>Other</v>
      </c>
      <c r="K48" s="5">
        <f>IF(ISBLANK(F48),AVERAGE(Table1[Performance Rating]),F48)</f>
        <v>3</v>
      </c>
    </row>
    <row r="49" spans="1:11" x14ac:dyDescent="0.3">
      <c r="A49" t="s">
        <v>56</v>
      </c>
      <c r="B49" t="s">
        <v>164</v>
      </c>
      <c r="C49" t="s">
        <v>167</v>
      </c>
      <c r="D49">
        <v>58245</v>
      </c>
      <c r="E49" s="6">
        <v>42337</v>
      </c>
      <c r="F49">
        <v>4</v>
      </c>
      <c r="H49" t="str">
        <f>IF(ISBLANK(B49), "Unknown",B49)</f>
        <v>Chris Lee</v>
      </c>
      <c r="I49" t="str">
        <f>IF(ISBLANK(C49),"Unknown",C49)</f>
        <v>HR</v>
      </c>
      <c r="J49" t="str">
        <f t="shared" si="1"/>
        <v>Unknown</v>
      </c>
      <c r="K49" s="5">
        <f>IF(ISBLANK(F49),AVERAGE(Table1[Performance Rating]),F49)</f>
        <v>4</v>
      </c>
    </row>
    <row r="50" spans="1:11" x14ac:dyDescent="0.3">
      <c r="A50" t="s">
        <v>57</v>
      </c>
      <c r="B50" t="s">
        <v>161</v>
      </c>
      <c r="C50" t="s">
        <v>166</v>
      </c>
      <c r="D50">
        <v>66513</v>
      </c>
      <c r="E50" s="6">
        <v>42344</v>
      </c>
      <c r="F50">
        <v>2</v>
      </c>
      <c r="G50" t="s">
        <v>179</v>
      </c>
      <c r="H50" t="str">
        <f>IF(ISBLANK(B50), "Unknown",B50)</f>
        <v>John Doe</v>
      </c>
      <c r="I50" t="str">
        <f>IF(ISBLANK(C50),"Unknown",C50)</f>
        <v>Finance</v>
      </c>
      <c r="J50" t="str">
        <f t="shared" si="1"/>
        <v>Other</v>
      </c>
      <c r="K50" s="5">
        <f>IF(ISBLANK(F50),AVERAGE(Table1[Performance Rating]),F50)</f>
        <v>2</v>
      </c>
    </row>
    <row r="51" spans="1:11" x14ac:dyDescent="0.3">
      <c r="A51" t="s">
        <v>58</v>
      </c>
      <c r="B51" t="s">
        <v>159</v>
      </c>
      <c r="C51" t="s">
        <v>167</v>
      </c>
      <c r="D51">
        <v>78720</v>
      </c>
      <c r="E51" s="6">
        <v>42351</v>
      </c>
      <c r="F51">
        <v>5</v>
      </c>
      <c r="G51" t="s">
        <v>181</v>
      </c>
      <c r="H51" t="str">
        <f>IF(ISBLANK(B51), "Unknown",B51)</f>
        <v>Eve Adams</v>
      </c>
      <c r="I51" t="str">
        <f>IF(ISBLANK(C51),"Unknown",C51)</f>
        <v>HR</v>
      </c>
      <c r="J51" t="str">
        <f t="shared" si="1"/>
        <v>Female</v>
      </c>
      <c r="K51" s="5">
        <f>IF(ISBLANK(F51),AVERAGE(Table1[Performance Rating]),F51)</f>
        <v>5</v>
      </c>
    </row>
    <row r="52" spans="1:11" x14ac:dyDescent="0.3">
      <c r="A52" t="s">
        <v>59</v>
      </c>
      <c r="B52" t="s">
        <v>164</v>
      </c>
      <c r="D52">
        <v>30686</v>
      </c>
      <c r="E52" s="6"/>
      <c r="F52">
        <v>2</v>
      </c>
      <c r="G52" t="s">
        <v>181</v>
      </c>
      <c r="H52" t="str">
        <f>IF(ISBLANK(B52), "Unknown",B52)</f>
        <v>Chris Lee</v>
      </c>
      <c r="I52" t="str">
        <f>IF(ISBLANK(C52),"Unknown",C52)</f>
        <v>Unknown</v>
      </c>
      <c r="J52" t="str">
        <f t="shared" si="1"/>
        <v>Female</v>
      </c>
      <c r="K52" s="5">
        <f>IF(ISBLANK(F52),AVERAGE(Table1[Performance Rating]),F52)</f>
        <v>2</v>
      </c>
    </row>
    <row r="53" spans="1:11" x14ac:dyDescent="0.3">
      <c r="A53" t="s">
        <v>60</v>
      </c>
      <c r="B53" t="s">
        <v>163</v>
      </c>
      <c r="C53" t="s">
        <v>168</v>
      </c>
      <c r="D53">
        <v>39423</v>
      </c>
      <c r="E53" s="6">
        <v>42365</v>
      </c>
      <c r="F53">
        <v>5</v>
      </c>
      <c r="H53" t="str">
        <f>IF(ISBLANK(B53), "Unknown",B53)</f>
        <v>Sam Wilson</v>
      </c>
      <c r="I53" t="str">
        <f>IF(ISBLANK(C53),"Unknown",C53)</f>
        <v>Sales</v>
      </c>
      <c r="J53" t="str">
        <f t="shared" si="1"/>
        <v>Unknown</v>
      </c>
      <c r="K53" s="5">
        <f>IF(ISBLANK(F53),AVERAGE(Table1[Performance Rating]),F53)</f>
        <v>5</v>
      </c>
    </row>
    <row r="54" spans="1:11" x14ac:dyDescent="0.3">
      <c r="A54" t="s">
        <v>61</v>
      </c>
      <c r="B54" t="s">
        <v>159</v>
      </c>
      <c r="C54" t="s">
        <v>170</v>
      </c>
      <c r="D54">
        <v>30280</v>
      </c>
      <c r="E54" s="6">
        <v>42372</v>
      </c>
      <c r="F54">
        <v>1</v>
      </c>
      <c r="H54" t="str">
        <f>IF(ISBLANK(B54), "Unknown",B54)</f>
        <v>Eve Adams</v>
      </c>
      <c r="I54" t="str">
        <f>IF(ISBLANK(C54),"Unknown",C54)</f>
        <v>Marketing</v>
      </c>
      <c r="J54" t="str">
        <f t="shared" si="1"/>
        <v>Unknown</v>
      </c>
      <c r="K54" s="5">
        <f>IF(ISBLANK(F54),AVERAGE(Table1[Performance Rating]),F54)</f>
        <v>1</v>
      </c>
    </row>
    <row r="55" spans="1:11" x14ac:dyDescent="0.3">
      <c r="A55" t="s">
        <v>62</v>
      </c>
      <c r="B55" t="s">
        <v>159</v>
      </c>
      <c r="C55" t="s">
        <v>166</v>
      </c>
      <c r="D55">
        <v>33352</v>
      </c>
      <c r="E55" s="6">
        <v>42379</v>
      </c>
      <c r="F55">
        <v>3</v>
      </c>
      <c r="G55" t="s">
        <v>181</v>
      </c>
      <c r="H55" t="str">
        <f>IF(ISBLANK(B55), "Unknown",B55)</f>
        <v>Eve Adams</v>
      </c>
      <c r="I55" t="str">
        <f>IF(ISBLANK(C55),"Unknown",C55)</f>
        <v>Finance</v>
      </c>
      <c r="J55" t="str">
        <f t="shared" si="1"/>
        <v>Female</v>
      </c>
      <c r="K55" s="5">
        <f>IF(ISBLANK(F55),AVERAGE(Table1[Performance Rating]),F55)</f>
        <v>3</v>
      </c>
    </row>
    <row r="56" spans="1:11" x14ac:dyDescent="0.3">
      <c r="A56" t="s">
        <v>63</v>
      </c>
      <c r="B56" t="s">
        <v>165</v>
      </c>
      <c r="C56" t="s">
        <v>170</v>
      </c>
      <c r="D56">
        <v>75633</v>
      </c>
      <c r="E56" s="6">
        <v>42386</v>
      </c>
      <c r="F56">
        <v>5</v>
      </c>
      <c r="G56" t="s">
        <v>179</v>
      </c>
      <c r="H56" t="str">
        <f>IF(ISBLANK(B56), "Unknown",B56)</f>
        <v>Bob Johnson</v>
      </c>
      <c r="I56" t="str">
        <f>IF(ISBLANK(C56),"Unknown",C56)</f>
        <v>Marketing</v>
      </c>
      <c r="J56" t="str">
        <f t="shared" si="1"/>
        <v>Other</v>
      </c>
      <c r="K56" s="5">
        <f>IF(ISBLANK(F56),AVERAGE(Table1[Performance Rating]),F56)</f>
        <v>5</v>
      </c>
    </row>
    <row r="57" spans="1:11" x14ac:dyDescent="0.3">
      <c r="A57" t="s">
        <v>64</v>
      </c>
      <c r="B57" t="s">
        <v>164</v>
      </c>
      <c r="D57">
        <v>74815</v>
      </c>
      <c r="E57" s="6">
        <v>42393</v>
      </c>
      <c r="F57">
        <v>5</v>
      </c>
      <c r="G57" t="s">
        <v>181</v>
      </c>
      <c r="H57" t="str">
        <f>IF(ISBLANK(B57), "Unknown",B57)</f>
        <v>Chris Lee</v>
      </c>
      <c r="I57" t="str">
        <f>IF(ISBLANK(C57),"Unknown",C57)</f>
        <v>Unknown</v>
      </c>
      <c r="J57" t="str">
        <f t="shared" si="1"/>
        <v>Female</v>
      </c>
      <c r="K57" s="5">
        <f>IF(ISBLANK(F57),AVERAGE(Table1[Performance Rating]),F57)</f>
        <v>5</v>
      </c>
    </row>
    <row r="58" spans="1:11" x14ac:dyDescent="0.3">
      <c r="A58" t="s">
        <v>65</v>
      </c>
      <c r="B58" t="s">
        <v>161</v>
      </c>
      <c r="C58" t="s">
        <v>168</v>
      </c>
      <c r="D58">
        <v>60011</v>
      </c>
      <c r="E58" s="6">
        <v>42400</v>
      </c>
      <c r="F58">
        <v>1</v>
      </c>
      <c r="G58" t="s">
        <v>180</v>
      </c>
      <c r="H58" t="str">
        <f>IF(ISBLANK(B58), "Unknown",B58)</f>
        <v>John Doe</v>
      </c>
      <c r="I58" t="str">
        <f>IF(ISBLANK(C58),"Unknown",C58)</f>
        <v>Sales</v>
      </c>
      <c r="J58" t="str">
        <f t="shared" si="1"/>
        <v>Male</v>
      </c>
      <c r="K58" s="5">
        <f>IF(ISBLANK(F58),AVERAGE(Table1[Performance Rating]),F58)</f>
        <v>1</v>
      </c>
    </row>
    <row r="59" spans="1:11" x14ac:dyDescent="0.3">
      <c r="A59" t="s">
        <v>66</v>
      </c>
      <c r="B59" t="s">
        <v>159</v>
      </c>
      <c r="D59">
        <v>96949</v>
      </c>
      <c r="E59" s="6">
        <v>42407</v>
      </c>
      <c r="F59">
        <v>3</v>
      </c>
      <c r="H59" t="str">
        <f>IF(ISBLANK(B59), "Unknown",B59)</f>
        <v>Eve Adams</v>
      </c>
      <c r="I59" t="str">
        <f>IF(ISBLANK(C59),"Unknown",C59)</f>
        <v>Unknown</v>
      </c>
      <c r="J59" t="str">
        <f t="shared" si="1"/>
        <v>Unknown</v>
      </c>
      <c r="K59" s="5">
        <f>IF(ISBLANK(F59),AVERAGE(Table1[Performance Rating]),F59)</f>
        <v>3</v>
      </c>
    </row>
    <row r="60" spans="1:11" x14ac:dyDescent="0.3">
      <c r="A60" t="s">
        <v>67</v>
      </c>
      <c r="B60" t="s">
        <v>163</v>
      </c>
      <c r="C60" t="s">
        <v>170</v>
      </c>
      <c r="D60">
        <v>84924</v>
      </c>
      <c r="E60" s="6">
        <v>42414</v>
      </c>
      <c r="F60">
        <v>5</v>
      </c>
      <c r="G60" t="s">
        <v>180</v>
      </c>
      <c r="H60" t="str">
        <f>IF(ISBLANK(B60), "Unknown",B60)</f>
        <v>Sam Wilson</v>
      </c>
      <c r="I60" t="str">
        <f>IF(ISBLANK(C60),"Unknown",C60)</f>
        <v>Marketing</v>
      </c>
      <c r="J60" t="str">
        <f t="shared" si="1"/>
        <v>Male</v>
      </c>
      <c r="K60" s="5">
        <f>IF(ISBLANK(F60),AVERAGE(Table1[Performance Rating]),F60)</f>
        <v>5</v>
      </c>
    </row>
    <row r="61" spans="1:11" x14ac:dyDescent="0.3">
      <c r="A61" t="s">
        <v>68</v>
      </c>
      <c r="B61" t="s">
        <v>163</v>
      </c>
      <c r="C61" t="s">
        <v>166</v>
      </c>
      <c r="D61">
        <v>82033</v>
      </c>
      <c r="E61" s="6">
        <v>42421</v>
      </c>
      <c r="F61">
        <v>1</v>
      </c>
      <c r="H61" t="str">
        <f>IF(ISBLANK(B61), "Unknown",B61)</f>
        <v>Sam Wilson</v>
      </c>
      <c r="I61" t="str">
        <f>IF(ISBLANK(C61),"Unknown",C61)</f>
        <v>Finance</v>
      </c>
      <c r="J61" t="str">
        <f t="shared" si="1"/>
        <v>Unknown</v>
      </c>
      <c r="K61" s="5">
        <f>IF(ISBLANK(F61),AVERAGE(Table1[Performance Rating]),F61)</f>
        <v>1</v>
      </c>
    </row>
    <row r="62" spans="1:11" x14ac:dyDescent="0.3">
      <c r="A62" t="s">
        <v>69</v>
      </c>
      <c r="C62" t="s">
        <v>170</v>
      </c>
      <c r="D62" t="s">
        <v>177</v>
      </c>
      <c r="E62" s="6"/>
      <c r="F62">
        <v>5</v>
      </c>
      <c r="G62" t="s">
        <v>178</v>
      </c>
      <c r="H62" t="str">
        <f>IF(ISBLANK(B62), "Unknown",B62)</f>
        <v>Unknown</v>
      </c>
      <c r="I62" t="str">
        <f>IF(ISBLANK(C62),"Unknown",C62)</f>
        <v>Marketing</v>
      </c>
      <c r="J62" t="str">
        <f t="shared" si="1"/>
        <v>Unknown</v>
      </c>
      <c r="K62" s="5">
        <f>IF(ISBLANK(F62),AVERAGE(Table1[Performance Rating]),F62)</f>
        <v>5</v>
      </c>
    </row>
    <row r="63" spans="1:11" x14ac:dyDescent="0.3">
      <c r="A63" t="s">
        <v>70</v>
      </c>
      <c r="B63" t="s">
        <v>159</v>
      </c>
      <c r="D63">
        <v>31499</v>
      </c>
      <c r="E63" s="6">
        <v>42435</v>
      </c>
      <c r="F63">
        <v>2</v>
      </c>
      <c r="H63" t="str">
        <f>IF(ISBLANK(B63), "Unknown",B63)</f>
        <v>Eve Adams</v>
      </c>
      <c r="I63" t="str">
        <f>IF(ISBLANK(C63),"Unknown",C63)</f>
        <v>Unknown</v>
      </c>
      <c r="J63" t="str">
        <f t="shared" si="1"/>
        <v>Unknown</v>
      </c>
      <c r="K63" s="5">
        <f>IF(ISBLANK(F63),AVERAGE(Table1[Performance Rating]),F63)</f>
        <v>2</v>
      </c>
    </row>
    <row r="64" spans="1:11" x14ac:dyDescent="0.3">
      <c r="A64" t="s">
        <v>71</v>
      </c>
      <c r="B64" t="s">
        <v>164</v>
      </c>
      <c r="C64" t="s">
        <v>169</v>
      </c>
      <c r="D64">
        <v>97981</v>
      </c>
      <c r="E64" s="6">
        <v>42442</v>
      </c>
      <c r="F64">
        <v>5</v>
      </c>
      <c r="G64" t="s">
        <v>181</v>
      </c>
      <c r="H64" t="str">
        <f>IF(ISBLANK(B64), "Unknown",B64)</f>
        <v>Chris Lee</v>
      </c>
      <c r="I64" t="str">
        <f>IF(ISBLANK(C64),"Unknown",C64)</f>
        <v>IT</v>
      </c>
      <c r="J64" t="str">
        <f t="shared" si="1"/>
        <v>Female</v>
      </c>
      <c r="K64" s="5">
        <f>IF(ISBLANK(F64),AVERAGE(Table1[Performance Rating]),F64)</f>
        <v>5</v>
      </c>
    </row>
    <row r="65" spans="1:11" x14ac:dyDescent="0.3">
      <c r="A65" t="s">
        <v>72</v>
      </c>
      <c r="B65" t="s">
        <v>159</v>
      </c>
      <c r="C65" t="s">
        <v>167</v>
      </c>
      <c r="D65">
        <v>36541</v>
      </c>
      <c r="E65" s="6">
        <v>42449</v>
      </c>
      <c r="F65">
        <v>2</v>
      </c>
      <c r="G65" t="s">
        <v>179</v>
      </c>
      <c r="H65" t="str">
        <f>IF(ISBLANK(B65), "Unknown",B65)</f>
        <v>Eve Adams</v>
      </c>
      <c r="I65" t="str">
        <f>IF(ISBLANK(C65),"Unknown",C65)</f>
        <v>HR</v>
      </c>
      <c r="J65" t="str">
        <f t="shared" si="1"/>
        <v>Other</v>
      </c>
      <c r="K65" s="5">
        <f>IF(ISBLANK(F65),AVERAGE(Table1[Performance Rating]),F65)</f>
        <v>2</v>
      </c>
    </row>
    <row r="66" spans="1:11" x14ac:dyDescent="0.3">
      <c r="A66" t="s">
        <v>73</v>
      </c>
      <c r="B66" t="s">
        <v>161</v>
      </c>
      <c r="C66" t="s">
        <v>169</v>
      </c>
      <c r="D66">
        <v>84737</v>
      </c>
      <c r="E66" s="6">
        <v>42456</v>
      </c>
      <c r="F66">
        <v>1</v>
      </c>
      <c r="G66" t="s">
        <v>180</v>
      </c>
      <c r="H66" t="str">
        <f>IF(ISBLANK(B66), "Unknown",B66)</f>
        <v>John Doe</v>
      </c>
      <c r="I66" t="str">
        <f>IF(ISBLANK(C66),"Unknown",C66)</f>
        <v>IT</v>
      </c>
      <c r="J66" t="str">
        <f t="shared" ref="J66:J97" si="2">IF(ISBLANK(G66),"Unknown",G66)</f>
        <v>Male</v>
      </c>
      <c r="K66" s="5">
        <f>IF(ISBLANK(F66),AVERAGE(Table1[Performance Rating]),F66)</f>
        <v>1</v>
      </c>
    </row>
    <row r="67" spans="1:11" x14ac:dyDescent="0.3">
      <c r="A67" t="s">
        <v>74</v>
      </c>
      <c r="B67" t="s">
        <v>163</v>
      </c>
      <c r="C67" t="s">
        <v>166</v>
      </c>
      <c r="D67">
        <v>33468</v>
      </c>
      <c r="E67" s="6">
        <v>42463</v>
      </c>
      <c r="F67">
        <v>4</v>
      </c>
      <c r="G67" t="s">
        <v>180</v>
      </c>
      <c r="H67" t="str">
        <f>IF(ISBLANK(B67), "Unknown",B67)</f>
        <v>Sam Wilson</v>
      </c>
      <c r="I67" t="str">
        <f>IF(ISBLANK(C67),"Unknown",C67)</f>
        <v>Finance</v>
      </c>
      <c r="J67" t="str">
        <f t="shared" si="2"/>
        <v>Male</v>
      </c>
      <c r="K67" s="5">
        <f>IF(ISBLANK(F67),AVERAGE(Table1[Performance Rating]),F67)</f>
        <v>4</v>
      </c>
    </row>
    <row r="68" spans="1:11" x14ac:dyDescent="0.3">
      <c r="A68" t="s">
        <v>75</v>
      </c>
      <c r="B68" t="s">
        <v>163</v>
      </c>
      <c r="D68">
        <v>96365</v>
      </c>
      <c r="E68" s="6">
        <v>42470</v>
      </c>
      <c r="F68">
        <v>3</v>
      </c>
      <c r="G68" t="s">
        <v>179</v>
      </c>
      <c r="H68" t="str">
        <f>IF(ISBLANK(B68), "Unknown",B68)</f>
        <v>Sam Wilson</v>
      </c>
      <c r="I68" t="str">
        <f>IF(ISBLANK(C68),"Unknown",C68)</f>
        <v>Unknown</v>
      </c>
      <c r="J68" t="str">
        <f t="shared" si="2"/>
        <v>Other</v>
      </c>
      <c r="K68" s="5">
        <f>IF(ISBLANK(F68),AVERAGE(Table1[Performance Rating]),F68)</f>
        <v>3</v>
      </c>
    </row>
    <row r="69" spans="1:11" x14ac:dyDescent="0.3">
      <c r="A69" t="s">
        <v>76</v>
      </c>
      <c r="B69" t="s">
        <v>160</v>
      </c>
      <c r="C69" t="s">
        <v>168</v>
      </c>
      <c r="D69">
        <v>61942</v>
      </c>
      <c r="E69" s="6">
        <v>42477</v>
      </c>
      <c r="F69">
        <v>3</v>
      </c>
      <c r="G69" t="s">
        <v>181</v>
      </c>
      <c r="H69" t="str">
        <f>IF(ISBLANK(B69), "Unknown",B69)</f>
        <v>Alice Brown</v>
      </c>
      <c r="I69" t="str">
        <f>IF(ISBLANK(C69),"Unknown",C69)</f>
        <v>Sales</v>
      </c>
      <c r="J69" t="str">
        <f t="shared" si="2"/>
        <v>Female</v>
      </c>
      <c r="K69" s="5">
        <f>IF(ISBLANK(F69),AVERAGE(Table1[Performance Rating]),F69)</f>
        <v>3</v>
      </c>
    </row>
    <row r="70" spans="1:11" x14ac:dyDescent="0.3">
      <c r="A70" t="s">
        <v>77</v>
      </c>
      <c r="B70" t="s">
        <v>163</v>
      </c>
      <c r="C70" t="s">
        <v>166</v>
      </c>
      <c r="D70">
        <v>41467</v>
      </c>
      <c r="E70" s="6">
        <v>42484</v>
      </c>
      <c r="F70">
        <v>2</v>
      </c>
      <c r="H70" t="str">
        <f>IF(ISBLANK(B70), "Unknown",B70)</f>
        <v>Sam Wilson</v>
      </c>
      <c r="I70" t="str">
        <f>IF(ISBLANK(C70),"Unknown",C70)</f>
        <v>Finance</v>
      </c>
      <c r="J70" t="str">
        <f t="shared" si="2"/>
        <v>Unknown</v>
      </c>
      <c r="K70" s="5">
        <f>IF(ISBLANK(F70),AVERAGE(Table1[Performance Rating]),F70)</f>
        <v>2</v>
      </c>
    </row>
    <row r="71" spans="1:11" x14ac:dyDescent="0.3">
      <c r="A71" t="s">
        <v>78</v>
      </c>
      <c r="B71" t="s">
        <v>165</v>
      </c>
      <c r="C71" t="s">
        <v>166</v>
      </c>
      <c r="D71">
        <v>77096</v>
      </c>
      <c r="E71" s="6">
        <v>42491</v>
      </c>
      <c r="F71">
        <v>1</v>
      </c>
      <c r="H71" t="str">
        <f>IF(ISBLANK(B71), "Unknown",B71)</f>
        <v>Bob Johnson</v>
      </c>
      <c r="I71" t="str">
        <f>IF(ISBLANK(C71),"Unknown",C71)</f>
        <v>Finance</v>
      </c>
      <c r="J71" t="str">
        <f t="shared" si="2"/>
        <v>Unknown</v>
      </c>
      <c r="K71" s="5">
        <f>IF(ISBLANK(F71),AVERAGE(Table1[Performance Rating]),F71)</f>
        <v>1</v>
      </c>
    </row>
    <row r="72" spans="1:11" x14ac:dyDescent="0.3">
      <c r="A72" t="s">
        <v>79</v>
      </c>
      <c r="B72" t="s">
        <v>159</v>
      </c>
      <c r="C72" t="s">
        <v>168</v>
      </c>
      <c r="D72">
        <v>69952</v>
      </c>
      <c r="E72" s="6">
        <v>42498</v>
      </c>
      <c r="F72">
        <v>5</v>
      </c>
      <c r="G72" t="s">
        <v>181</v>
      </c>
      <c r="H72" t="str">
        <f>IF(ISBLANK(B72), "Unknown",B72)</f>
        <v>Eve Adams</v>
      </c>
      <c r="I72" t="str">
        <f>IF(ISBLANK(C72),"Unknown",C72)</f>
        <v>Sales</v>
      </c>
      <c r="J72" t="str">
        <f t="shared" si="2"/>
        <v>Female</v>
      </c>
      <c r="K72" s="5">
        <f>IF(ISBLANK(F72),AVERAGE(Table1[Performance Rating]),F72)</f>
        <v>5</v>
      </c>
    </row>
    <row r="73" spans="1:11" x14ac:dyDescent="0.3">
      <c r="A73" t="s">
        <v>80</v>
      </c>
      <c r="B73" t="s">
        <v>159</v>
      </c>
      <c r="C73" t="s">
        <v>170</v>
      </c>
      <c r="D73">
        <v>85065</v>
      </c>
      <c r="E73" s="6">
        <v>42505</v>
      </c>
      <c r="F73">
        <v>3</v>
      </c>
      <c r="H73" t="str">
        <f>IF(ISBLANK(B73), "Unknown",B73)</f>
        <v>Eve Adams</v>
      </c>
      <c r="I73" t="str">
        <f>IF(ISBLANK(C73),"Unknown",C73)</f>
        <v>Marketing</v>
      </c>
      <c r="J73" t="str">
        <f t="shared" si="2"/>
        <v>Unknown</v>
      </c>
      <c r="K73" s="5">
        <f>IF(ISBLANK(F73),AVERAGE(Table1[Performance Rating]),F73)</f>
        <v>3</v>
      </c>
    </row>
    <row r="74" spans="1:11" x14ac:dyDescent="0.3">
      <c r="A74" t="s">
        <v>81</v>
      </c>
      <c r="B74" t="s">
        <v>165</v>
      </c>
      <c r="C74" t="s">
        <v>170</v>
      </c>
      <c r="D74">
        <v>56512</v>
      </c>
      <c r="E74" s="6">
        <v>42512</v>
      </c>
      <c r="G74" t="s">
        <v>179</v>
      </c>
      <c r="H74" t="str">
        <f>IF(ISBLANK(B74), "Unknown",B74)</f>
        <v>Bob Johnson</v>
      </c>
      <c r="I74" t="str">
        <f>IF(ISBLANK(C74),"Unknown",C74)</f>
        <v>Marketing</v>
      </c>
      <c r="J74" t="str">
        <f t="shared" si="2"/>
        <v>Other</v>
      </c>
      <c r="K74" s="5">
        <f>IF(ISBLANK(F74),AVERAGE(Table1[Performance Rating]),F74)</f>
        <v>2.8719999999999999</v>
      </c>
    </row>
    <row r="75" spans="1:11" x14ac:dyDescent="0.3">
      <c r="A75" t="s">
        <v>82</v>
      </c>
      <c r="B75" t="s">
        <v>161</v>
      </c>
      <c r="C75" t="s">
        <v>168</v>
      </c>
      <c r="D75">
        <v>91101</v>
      </c>
      <c r="E75" s="6">
        <v>42519</v>
      </c>
      <c r="F75">
        <v>4</v>
      </c>
      <c r="G75" t="s">
        <v>181</v>
      </c>
      <c r="H75" t="str">
        <f>IF(ISBLANK(B75), "Unknown",B75)</f>
        <v>John Doe</v>
      </c>
      <c r="I75" t="str">
        <f>IF(ISBLANK(C75),"Unknown",C75)</f>
        <v>Sales</v>
      </c>
      <c r="J75" t="str">
        <f t="shared" si="2"/>
        <v>Female</v>
      </c>
      <c r="K75" s="5">
        <f>IF(ISBLANK(F75),AVERAGE(Table1[Performance Rating]),F75)</f>
        <v>4</v>
      </c>
    </row>
    <row r="76" spans="1:11" x14ac:dyDescent="0.3">
      <c r="A76" t="s">
        <v>83</v>
      </c>
      <c r="B76" t="s">
        <v>163</v>
      </c>
      <c r="D76">
        <v>41243</v>
      </c>
      <c r="E76" s="6">
        <v>42526</v>
      </c>
      <c r="H76" t="str">
        <f>IF(ISBLANK(B76), "Unknown",B76)</f>
        <v>Sam Wilson</v>
      </c>
      <c r="I76" t="str">
        <f>IF(ISBLANK(C76),"Unknown",C76)</f>
        <v>Unknown</v>
      </c>
      <c r="J76" t="str">
        <f t="shared" si="2"/>
        <v>Unknown</v>
      </c>
      <c r="K76" s="5">
        <f>IF(ISBLANK(F76),AVERAGE(Table1[Performance Rating]),F76)</f>
        <v>2.8719999999999999</v>
      </c>
    </row>
    <row r="77" spans="1:11" x14ac:dyDescent="0.3">
      <c r="A77" t="s">
        <v>84</v>
      </c>
      <c r="C77" t="s">
        <v>168</v>
      </c>
      <c r="D77">
        <v>96142</v>
      </c>
      <c r="E77" s="6">
        <v>42533</v>
      </c>
      <c r="F77">
        <v>1</v>
      </c>
      <c r="G77" t="s">
        <v>179</v>
      </c>
      <c r="H77" t="str">
        <f>IF(ISBLANK(B77), "Unknown",B77)</f>
        <v>Unknown</v>
      </c>
      <c r="I77" t="str">
        <f>IF(ISBLANK(C77),"Unknown",C77)</f>
        <v>Sales</v>
      </c>
      <c r="J77" t="str">
        <f t="shared" si="2"/>
        <v>Other</v>
      </c>
      <c r="K77" s="5">
        <f>IF(ISBLANK(F77),AVERAGE(Table1[Performance Rating]),F77)</f>
        <v>1</v>
      </c>
    </row>
    <row r="78" spans="1:11" x14ac:dyDescent="0.3">
      <c r="A78" t="s">
        <v>85</v>
      </c>
      <c r="B78" t="s">
        <v>159</v>
      </c>
      <c r="C78" t="s">
        <v>169</v>
      </c>
      <c r="D78">
        <v>94301</v>
      </c>
      <c r="E78" s="6">
        <v>42540</v>
      </c>
      <c r="F78">
        <v>1</v>
      </c>
      <c r="G78" t="s">
        <v>180</v>
      </c>
      <c r="H78" t="str">
        <f>IF(ISBLANK(B78), "Unknown",B78)</f>
        <v>Eve Adams</v>
      </c>
      <c r="I78" t="str">
        <f>IF(ISBLANK(C78),"Unknown",C78)</f>
        <v>IT</v>
      </c>
      <c r="J78" t="str">
        <f t="shared" si="2"/>
        <v>Male</v>
      </c>
      <c r="K78" s="5">
        <f>IF(ISBLANK(F78),AVERAGE(Table1[Performance Rating]),F78)</f>
        <v>1</v>
      </c>
    </row>
    <row r="79" spans="1:11" x14ac:dyDescent="0.3">
      <c r="A79" t="s">
        <v>86</v>
      </c>
      <c r="B79" t="s">
        <v>162</v>
      </c>
      <c r="D79">
        <v>69166</v>
      </c>
      <c r="E79" s="6">
        <v>42547</v>
      </c>
      <c r="F79">
        <v>1</v>
      </c>
      <c r="G79" t="s">
        <v>181</v>
      </c>
      <c r="H79" t="str">
        <f>IF(ISBLANK(B79), "Unknown",B79)</f>
        <v>Jane Smith</v>
      </c>
      <c r="I79" t="str">
        <f>IF(ISBLANK(C79),"Unknown",C79)</f>
        <v>Unknown</v>
      </c>
      <c r="J79" t="str">
        <f t="shared" si="2"/>
        <v>Female</v>
      </c>
      <c r="K79" s="5">
        <f>IF(ISBLANK(F79),AVERAGE(Table1[Performance Rating]),F79)</f>
        <v>1</v>
      </c>
    </row>
    <row r="80" spans="1:11" x14ac:dyDescent="0.3">
      <c r="A80" t="s">
        <v>87</v>
      </c>
      <c r="B80" t="s">
        <v>163</v>
      </c>
      <c r="D80">
        <v>78245</v>
      </c>
      <c r="E80" s="6">
        <v>42554</v>
      </c>
      <c r="F80">
        <v>2</v>
      </c>
      <c r="H80" t="str">
        <f>IF(ISBLANK(B80), "Unknown",B80)</f>
        <v>Sam Wilson</v>
      </c>
      <c r="I80" t="str">
        <f>IF(ISBLANK(C80),"Unknown",C80)</f>
        <v>Unknown</v>
      </c>
      <c r="J80" t="str">
        <f t="shared" si="2"/>
        <v>Unknown</v>
      </c>
      <c r="K80" s="5">
        <f>IF(ISBLANK(F80),AVERAGE(Table1[Performance Rating]),F80)</f>
        <v>2</v>
      </c>
    </row>
    <row r="81" spans="1:11" x14ac:dyDescent="0.3">
      <c r="A81" t="s">
        <v>88</v>
      </c>
      <c r="B81" t="s">
        <v>164</v>
      </c>
      <c r="C81" t="s">
        <v>168</v>
      </c>
      <c r="D81">
        <v>66079</v>
      </c>
      <c r="E81" s="6">
        <v>42561</v>
      </c>
      <c r="F81">
        <v>2</v>
      </c>
      <c r="G81" t="s">
        <v>179</v>
      </c>
      <c r="H81" t="str">
        <f>IF(ISBLANK(B81), "Unknown",B81)</f>
        <v>Chris Lee</v>
      </c>
      <c r="I81" t="str">
        <f>IF(ISBLANK(C81),"Unknown",C81)</f>
        <v>Sales</v>
      </c>
      <c r="J81" t="str">
        <f t="shared" si="2"/>
        <v>Other</v>
      </c>
      <c r="K81" s="5">
        <f>IF(ISBLANK(F81),AVERAGE(Table1[Performance Rating]),F81)</f>
        <v>2</v>
      </c>
    </row>
    <row r="82" spans="1:11" x14ac:dyDescent="0.3">
      <c r="A82" t="s">
        <v>89</v>
      </c>
      <c r="B82" t="s">
        <v>159</v>
      </c>
      <c r="C82" t="s">
        <v>170</v>
      </c>
      <c r="D82" t="s">
        <v>177</v>
      </c>
      <c r="E82" s="6"/>
      <c r="H82" t="str">
        <f>IF(ISBLANK(B82), "Unknown",B82)</f>
        <v>Eve Adams</v>
      </c>
      <c r="I82" t="str">
        <f>IF(ISBLANK(C82),"Unknown",C82)</f>
        <v>Marketing</v>
      </c>
      <c r="J82" t="str">
        <f t="shared" si="2"/>
        <v>Unknown</v>
      </c>
      <c r="K82" s="5">
        <f>IF(ISBLANK(F82),AVERAGE(Table1[Performance Rating]),F82)</f>
        <v>2.8719999999999999</v>
      </c>
    </row>
    <row r="83" spans="1:11" x14ac:dyDescent="0.3">
      <c r="A83" t="s">
        <v>90</v>
      </c>
      <c r="B83" t="s">
        <v>162</v>
      </c>
      <c r="C83" t="s">
        <v>168</v>
      </c>
      <c r="D83">
        <v>95621</v>
      </c>
      <c r="E83" s="6">
        <v>42575</v>
      </c>
      <c r="F83">
        <v>3</v>
      </c>
      <c r="G83" t="s">
        <v>181</v>
      </c>
      <c r="H83" t="str">
        <f>IF(ISBLANK(B83), "Unknown",B83)</f>
        <v>Jane Smith</v>
      </c>
      <c r="I83" t="str">
        <f>IF(ISBLANK(C83),"Unknown",C83)</f>
        <v>Sales</v>
      </c>
      <c r="J83" t="str">
        <f t="shared" si="2"/>
        <v>Female</v>
      </c>
      <c r="K83" s="5">
        <f>IF(ISBLANK(F83),AVERAGE(Table1[Performance Rating]),F83)</f>
        <v>3</v>
      </c>
    </row>
    <row r="84" spans="1:11" x14ac:dyDescent="0.3">
      <c r="A84" t="s">
        <v>91</v>
      </c>
      <c r="B84" t="s">
        <v>159</v>
      </c>
      <c r="C84" t="s">
        <v>169</v>
      </c>
      <c r="D84">
        <v>42262</v>
      </c>
      <c r="E84" s="6">
        <v>42582</v>
      </c>
      <c r="F84">
        <v>1</v>
      </c>
      <c r="H84" t="str">
        <f>IF(ISBLANK(B84), "Unknown",B84)</f>
        <v>Eve Adams</v>
      </c>
      <c r="I84" t="str">
        <f>IF(ISBLANK(C84),"Unknown",C84)</f>
        <v>IT</v>
      </c>
      <c r="J84" t="str">
        <f t="shared" si="2"/>
        <v>Unknown</v>
      </c>
      <c r="K84" s="5">
        <f>IF(ISBLANK(F84),AVERAGE(Table1[Performance Rating]),F84)</f>
        <v>1</v>
      </c>
    </row>
    <row r="85" spans="1:11" x14ac:dyDescent="0.3">
      <c r="A85" t="s">
        <v>92</v>
      </c>
      <c r="B85" t="s">
        <v>163</v>
      </c>
      <c r="C85" t="s">
        <v>168</v>
      </c>
      <c r="D85">
        <v>99621</v>
      </c>
      <c r="E85" s="6">
        <v>42589</v>
      </c>
      <c r="G85" t="s">
        <v>179</v>
      </c>
      <c r="H85" t="str">
        <f>IF(ISBLANK(B85), "Unknown",B85)</f>
        <v>Sam Wilson</v>
      </c>
      <c r="I85" t="str">
        <f>IF(ISBLANK(C85),"Unknown",C85)</f>
        <v>Sales</v>
      </c>
      <c r="J85" t="str">
        <f t="shared" si="2"/>
        <v>Other</v>
      </c>
      <c r="K85" s="5">
        <f>IF(ISBLANK(F85),AVERAGE(Table1[Performance Rating]),F85)</f>
        <v>2.8719999999999999</v>
      </c>
    </row>
    <row r="86" spans="1:11" x14ac:dyDescent="0.3">
      <c r="A86" t="s">
        <v>93</v>
      </c>
      <c r="B86" t="s">
        <v>161</v>
      </c>
      <c r="C86" t="s">
        <v>170</v>
      </c>
      <c r="D86">
        <v>44682</v>
      </c>
      <c r="E86" s="6">
        <v>42596</v>
      </c>
      <c r="F86">
        <v>4</v>
      </c>
      <c r="G86" t="s">
        <v>181</v>
      </c>
      <c r="H86" t="str">
        <f>IF(ISBLANK(B86), "Unknown",B86)</f>
        <v>John Doe</v>
      </c>
      <c r="I86" t="str">
        <f>IF(ISBLANK(C86),"Unknown",C86)</f>
        <v>Marketing</v>
      </c>
      <c r="J86" t="str">
        <f t="shared" si="2"/>
        <v>Female</v>
      </c>
      <c r="K86" s="5">
        <f>IF(ISBLANK(F86),AVERAGE(Table1[Performance Rating]),F86)</f>
        <v>4</v>
      </c>
    </row>
    <row r="87" spans="1:11" x14ac:dyDescent="0.3">
      <c r="A87" t="s">
        <v>94</v>
      </c>
      <c r="B87" t="s">
        <v>164</v>
      </c>
      <c r="C87" t="s">
        <v>166</v>
      </c>
      <c r="D87">
        <v>35163</v>
      </c>
      <c r="E87" s="6">
        <v>42603</v>
      </c>
      <c r="F87">
        <v>5</v>
      </c>
      <c r="G87" t="s">
        <v>179</v>
      </c>
      <c r="H87" t="str">
        <f>IF(ISBLANK(B87), "Unknown",B87)</f>
        <v>Chris Lee</v>
      </c>
      <c r="I87" t="str">
        <f>IF(ISBLANK(C87),"Unknown",C87)</f>
        <v>Finance</v>
      </c>
      <c r="J87" t="str">
        <f t="shared" si="2"/>
        <v>Other</v>
      </c>
      <c r="K87" s="5">
        <f>IF(ISBLANK(F87),AVERAGE(Table1[Performance Rating]),F87)</f>
        <v>5</v>
      </c>
    </row>
    <row r="88" spans="1:11" x14ac:dyDescent="0.3">
      <c r="A88" t="s">
        <v>95</v>
      </c>
      <c r="B88" t="s">
        <v>164</v>
      </c>
      <c r="C88" t="s">
        <v>169</v>
      </c>
      <c r="D88">
        <v>33483</v>
      </c>
      <c r="E88" s="6">
        <v>42610</v>
      </c>
      <c r="F88">
        <v>4</v>
      </c>
      <c r="G88" t="s">
        <v>180</v>
      </c>
      <c r="H88" t="str">
        <f>IF(ISBLANK(B88), "Unknown",B88)</f>
        <v>Chris Lee</v>
      </c>
      <c r="I88" t="str">
        <f>IF(ISBLANK(C88),"Unknown",C88)</f>
        <v>IT</v>
      </c>
      <c r="J88" t="str">
        <f t="shared" si="2"/>
        <v>Male</v>
      </c>
      <c r="K88" s="5">
        <f>IF(ISBLANK(F88),AVERAGE(Table1[Performance Rating]),F88)</f>
        <v>4</v>
      </c>
    </row>
    <row r="89" spans="1:11" x14ac:dyDescent="0.3">
      <c r="A89" t="s">
        <v>96</v>
      </c>
      <c r="B89" t="s">
        <v>163</v>
      </c>
      <c r="C89" t="s">
        <v>167</v>
      </c>
      <c r="D89">
        <v>55303</v>
      </c>
      <c r="E89" s="6">
        <v>42617</v>
      </c>
      <c r="F89">
        <v>4</v>
      </c>
      <c r="G89" t="s">
        <v>180</v>
      </c>
      <c r="H89" t="str">
        <f>IF(ISBLANK(B89), "Unknown",B89)</f>
        <v>Sam Wilson</v>
      </c>
      <c r="I89" t="str">
        <f>IF(ISBLANK(C89),"Unknown",C89)</f>
        <v>HR</v>
      </c>
      <c r="J89" t="str">
        <f t="shared" si="2"/>
        <v>Male</v>
      </c>
      <c r="K89" s="5">
        <f>IF(ISBLANK(F89),AVERAGE(Table1[Performance Rating]),F89)</f>
        <v>4</v>
      </c>
    </row>
    <row r="90" spans="1:11" x14ac:dyDescent="0.3">
      <c r="A90" t="s">
        <v>97</v>
      </c>
      <c r="B90" t="s">
        <v>164</v>
      </c>
      <c r="C90" t="s">
        <v>169</v>
      </c>
      <c r="D90">
        <v>63434</v>
      </c>
      <c r="E90" s="6">
        <v>42624</v>
      </c>
      <c r="F90">
        <v>3</v>
      </c>
      <c r="H90" t="str">
        <f>IF(ISBLANK(B90), "Unknown",B90)</f>
        <v>Chris Lee</v>
      </c>
      <c r="I90" t="str">
        <f>IF(ISBLANK(C90),"Unknown",C90)</f>
        <v>IT</v>
      </c>
      <c r="J90" t="str">
        <f t="shared" si="2"/>
        <v>Unknown</v>
      </c>
      <c r="K90" s="5">
        <f>IF(ISBLANK(F90),AVERAGE(Table1[Performance Rating]),F90)</f>
        <v>3</v>
      </c>
    </row>
    <row r="91" spans="1:11" x14ac:dyDescent="0.3">
      <c r="A91" t="s">
        <v>98</v>
      </c>
      <c r="B91" t="s">
        <v>162</v>
      </c>
      <c r="D91">
        <v>38830</v>
      </c>
      <c r="E91" s="6">
        <v>42631</v>
      </c>
      <c r="F91">
        <v>3</v>
      </c>
      <c r="G91" t="s">
        <v>179</v>
      </c>
      <c r="H91" t="str">
        <f>IF(ISBLANK(B91), "Unknown",B91)</f>
        <v>Jane Smith</v>
      </c>
      <c r="I91" t="str">
        <f>IF(ISBLANK(C91),"Unknown",C91)</f>
        <v>Unknown</v>
      </c>
      <c r="J91" t="str">
        <f t="shared" si="2"/>
        <v>Other</v>
      </c>
      <c r="K91" s="5">
        <f>IF(ISBLANK(F91),AVERAGE(Table1[Performance Rating]),F91)</f>
        <v>3</v>
      </c>
    </row>
    <row r="92" spans="1:11" x14ac:dyDescent="0.3">
      <c r="A92" t="s">
        <v>99</v>
      </c>
      <c r="C92" t="s">
        <v>170</v>
      </c>
      <c r="D92">
        <v>50741</v>
      </c>
      <c r="E92" s="6">
        <v>42638</v>
      </c>
      <c r="F92">
        <v>3</v>
      </c>
      <c r="G92" t="s">
        <v>178</v>
      </c>
      <c r="H92" t="str">
        <f>IF(ISBLANK(B92), "Unknown",B92)</f>
        <v>Unknown</v>
      </c>
      <c r="I92" t="str">
        <f>IF(ISBLANK(C92),"Unknown",C92)</f>
        <v>Marketing</v>
      </c>
      <c r="J92" t="str">
        <f t="shared" si="2"/>
        <v>Unknown</v>
      </c>
      <c r="K92" s="5">
        <f>IF(ISBLANK(F92),AVERAGE(Table1[Performance Rating]),F92)</f>
        <v>3</v>
      </c>
    </row>
    <row r="93" spans="1:11" x14ac:dyDescent="0.3">
      <c r="A93" t="s">
        <v>100</v>
      </c>
      <c r="B93" t="s">
        <v>160</v>
      </c>
      <c r="C93" t="s">
        <v>167</v>
      </c>
      <c r="D93">
        <v>69420</v>
      </c>
      <c r="E93" s="6">
        <v>42645</v>
      </c>
      <c r="F93">
        <v>1</v>
      </c>
      <c r="G93" t="s">
        <v>180</v>
      </c>
      <c r="H93" t="str">
        <f>IF(ISBLANK(B93), "Unknown",B93)</f>
        <v>Alice Brown</v>
      </c>
      <c r="I93" t="str">
        <f>IF(ISBLANK(C93),"Unknown",C93)</f>
        <v>HR</v>
      </c>
      <c r="J93" t="str">
        <f t="shared" si="2"/>
        <v>Male</v>
      </c>
      <c r="K93" s="5">
        <f>IF(ISBLANK(F93),AVERAGE(Table1[Performance Rating]),F93)</f>
        <v>1</v>
      </c>
    </row>
    <row r="94" spans="1:11" x14ac:dyDescent="0.3">
      <c r="A94" t="s">
        <v>101</v>
      </c>
      <c r="B94" t="s">
        <v>162</v>
      </c>
      <c r="C94" t="s">
        <v>169</v>
      </c>
      <c r="D94">
        <v>80588</v>
      </c>
      <c r="E94" s="6">
        <v>42652</v>
      </c>
      <c r="F94">
        <v>5</v>
      </c>
      <c r="G94" t="s">
        <v>180</v>
      </c>
      <c r="H94" t="str">
        <f>IF(ISBLANK(B94), "Unknown",B94)</f>
        <v>Jane Smith</v>
      </c>
      <c r="I94" t="str">
        <f>IF(ISBLANK(C94),"Unknown",C94)</f>
        <v>IT</v>
      </c>
      <c r="J94" t="str">
        <f t="shared" si="2"/>
        <v>Male</v>
      </c>
      <c r="K94" s="5">
        <f>IF(ISBLANK(F94),AVERAGE(Table1[Performance Rating]),F94)</f>
        <v>5</v>
      </c>
    </row>
    <row r="95" spans="1:11" x14ac:dyDescent="0.3">
      <c r="A95" t="s">
        <v>102</v>
      </c>
      <c r="B95" t="s">
        <v>160</v>
      </c>
      <c r="D95">
        <v>76238</v>
      </c>
      <c r="E95" s="6">
        <v>42659</v>
      </c>
      <c r="F95">
        <v>4</v>
      </c>
      <c r="G95" t="s">
        <v>180</v>
      </c>
      <c r="H95" t="str">
        <f>IF(ISBLANK(B95), "Unknown",B95)</f>
        <v>Alice Brown</v>
      </c>
      <c r="I95" t="str">
        <f>IF(ISBLANK(C95),"Unknown",C95)</f>
        <v>Unknown</v>
      </c>
      <c r="J95" t="str">
        <f t="shared" si="2"/>
        <v>Male</v>
      </c>
      <c r="K95" s="5">
        <f>IF(ISBLANK(F95),AVERAGE(Table1[Performance Rating]),F95)</f>
        <v>4</v>
      </c>
    </row>
    <row r="96" spans="1:11" x14ac:dyDescent="0.3">
      <c r="A96" t="s">
        <v>103</v>
      </c>
      <c r="B96" t="s">
        <v>165</v>
      </c>
      <c r="C96" t="s">
        <v>169</v>
      </c>
      <c r="D96">
        <v>33264</v>
      </c>
      <c r="E96" s="6">
        <v>42666</v>
      </c>
      <c r="G96" t="s">
        <v>181</v>
      </c>
      <c r="H96" t="str">
        <f>IF(ISBLANK(B96), "Unknown",B96)</f>
        <v>Bob Johnson</v>
      </c>
      <c r="I96" t="str">
        <f>IF(ISBLANK(C96),"Unknown",C96)</f>
        <v>IT</v>
      </c>
      <c r="J96" t="str">
        <f t="shared" si="2"/>
        <v>Female</v>
      </c>
      <c r="K96" s="5">
        <f>IF(ISBLANK(F96),AVERAGE(Table1[Performance Rating]),F96)</f>
        <v>2.8719999999999999</v>
      </c>
    </row>
    <row r="97" spans="1:11" x14ac:dyDescent="0.3">
      <c r="A97" t="s">
        <v>104</v>
      </c>
      <c r="B97" t="s">
        <v>160</v>
      </c>
      <c r="C97" t="s">
        <v>166</v>
      </c>
      <c r="D97">
        <v>96101</v>
      </c>
      <c r="E97" s="6">
        <v>42673</v>
      </c>
      <c r="G97" t="s">
        <v>179</v>
      </c>
      <c r="H97" t="str">
        <f>IF(ISBLANK(B97), "Unknown",B97)</f>
        <v>Alice Brown</v>
      </c>
      <c r="I97" t="str">
        <f>IF(ISBLANK(C97),"Unknown",C97)</f>
        <v>Finance</v>
      </c>
      <c r="J97" t="str">
        <f t="shared" si="2"/>
        <v>Other</v>
      </c>
      <c r="K97" s="5">
        <f>IF(ISBLANK(F97),AVERAGE(Table1[Performance Rating]),F97)</f>
        <v>2.8719999999999999</v>
      </c>
    </row>
    <row r="98" spans="1:11" x14ac:dyDescent="0.3">
      <c r="A98" t="s">
        <v>105</v>
      </c>
      <c r="B98" t="s">
        <v>162</v>
      </c>
      <c r="C98" t="s">
        <v>166</v>
      </c>
      <c r="D98">
        <v>72939</v>
      </c>
      <c r="E98" s="6">
        <v>42680</v>
      </c>
      <c r="F98">
        <v>3</v>
      </c>
      <c r="H98" t="str">
        <f>IF(ISBLANK(B98), "Unknown",B98)</f>
        <v>Jane Smith</v>
      </c>
      <c r="I98" t="str">
        <f>IF(ISBLANK(C98),"Unknown",C98)</f>
        <v>Finance</v>
      </c>
      <c r="J98" t="str">
        <f t="shared" ref="J98:J129" si="3">IF(ISBLANK(G98),"Unknown",G98)</f>
        <v>Unknown</v>
      </c>
      <c r="K98" s="5">
        <f>IF(ISBLANK(F98),AVERAGE(Table1[Performance Rating]),F98)</f>
        <v>3</v>
      </c>
    </row>
    <row r="99" spans="1:11" x14ac:dyDescent="0.3">
      <c r="A99" t="s">
        <v>106</v>
      </c>
      <c r="B99" t="s">
        <v>163</v>
      </c>
      <c r="C99" t="s">
        <v>167</v>
      </c>
      <c r="D99">
        <v>89333</v>
      </c>
      <c r="E99" s="6">
        <v>42687</v>
      </c>
      <c r="F99">
        <v>1</v>
      </c>
      <c r="G99" t="s">
        <v>180</v>
      </c>
      <c r="H99" t="str">
        <f>IF(ISBLANK(B99), "Unknown",B99)</f>
        <v>Sam Wilson</v>
      </c>
      <c r="I99" t="str">
        <f>IF(ISBLANK(C99),"Unknown",C99)</f>
        <v>HR</v>
      </c>
      <c r="J99" t="str">
        <f t="shared" si="3"/>
        <v>Male</v>
      </c>
      <c r="K99" s="5">
        <f>IF(ISBLANK(F99),AVERAGE(Table1[Performance Rating]),F99)</f>
        <v>1</v>
      </c>
    </row>
    <row r="100" spans="1:11" x14ac:dyDescent="0.3">
      <c r="A100" t="s">
        <v>107</v>
      </c>
      <c r="B100" t="s">
        <v>165</v>
      </c>
      <c r="C100" t="s">
        <v>169</v>
      </c>
      <c r="D100">
        <v>70470</v>
      </c>
      <c r="E100" s="6">
        <v>42694</v>
      </c>
      <c r="G100" t="s">
        <v>180</v>
      </c>
      <c r="H100" t="str">
        <f>IF(ISBLANK(B100), "Unknown",B100)</f>
        <v>Bob Johnson</v>
      </c>
      <c r="I100" t="str">
        <f>IF(ISBLANK(C100),"Unknown",C100)</f>
        <v>IT</v>
      </c>
      <c r="J100" t="str">
        <f t="shared" si="3"/>
        <v>Male</v>
      </c>
      <c r="K100" s="5">
        <f>IF(ISBLANK(F100),AVERAGE(Table1[Performance Rating]),F100)</f>
        <v>2.8719999999999999</v>
      </c>
    </row>
    <row r="101" spans="1:11" x14ac:dyDescent="0.3">
      <c r="A101" t="s">
        <v>108</v>
      </c>
      <c r="B101" t="s">
        <v>159</v>
      </c>
      <c r="C101" t="s">
        <v>170</v>
      </c>
      <c r="D101">
        <v>70096</v>
      </c>
      <c r="E101" s="6">
        <v>42701</v>
      </c>
      <c r="F101">
        <v>4</v>
      </c>
      <c r="G101" t="s">
        <v>180</v>
      </c>
      <c r="H101" t="str">
        <f>IF(ISBLANK(B101), "Unknown",B101)</f>
        <v>Eve Adams</v>
      </c>
      <c r="I101" t="str">
        <f>IF(ISBLANK(C101),"Unknown",C101)</f>
        <v>Marketing</v>
      </c>
      <c r="J101" t="str">
        <f t="shared" si="3"/>
        <v>Male</v>
      </c>
      <c r="K101" s="5">
        <f>IF(ISBLANK(F101),AVERAGE(Table1[Performance Rating]),F101)</f>
        <v>4</v>
      </c>
    </row>
    <row r="102" spans="1:11" x14ac:dyDescent="0.3">
      <c r="A102" t="s">
        <v>109</v>
      </c>
      <c r="B102" t="s">
        <v>165</v>
      </c>
      <c r="C102" t="s">
        <v>170</v>
      </c>
      <c r="D102" t="s">
        <v>177</v>
      </c>
      <c r="E102" s="6">
        <v>42708</v>
      </c>
      <c r="F102">
        <v>2</v>
      </c>
      <c r="G102" t="s">
        <v>179</v>
      </c>
      <c r="H102" t="str">
        <f>IF(ISBLANK(B102), "Unknown",B102)</f>
        <v>Bob Johnson</v>
      </c>
      <c r="I102" t="str">
        <f>IF(ISBLANK(C102),"Unknown",C102)</f>
        <v>Marketing</v>
      </c>
      <c r="J102" t="str">
        <f t="shared" si="3"/>
        <v>Other</v>
      </c>
      <c r="K102" s="5">
        <f>IF(ISBLANK(F102),AVERAGE(Table1[Performance Rating]),F102)</f>
        <v>2</v>
      </c>
    </row>
    <row r="103" spans="1:11" x14ac:dyDescent="0.3">
      <c r="A103" t="s">
        <v>110</v>
      </c>
      <c r="B103" t="s">
        <v>165</v>
      </c>
      <c r="C103" t="s">
        <v>169</v>
      </c>
      <c r="D103">
        <v>66503</v>
      </c>
      <c r="E103" s="6">
        <v>42715</v>
      </c>
      <c r="G103" t="s">
        <v>180</v>
      </c>
      <c r="H103" t="str">
        <f>IF(ISBLANK(B103), "Unknown",B103)</f>
        <v>Bob Johnson</v>
      </c>
      <c r="I103" t="str">
        <f>IF(ISBLANK(C103),"Unknown",C103)</f>
        <v>IT</v>
      </c>
      <c r="J103" t="str">
        <f t="shared" si="3"/>
        <v>Male</v>
      </c>
      <c r="K103" s="5">
        <f>IF(ISBLANK(F103),AVERAGE(Table1[Performance Rating]),F103)</f>
        <v>2.8719999999999999</v>
      </c>
    </row>
    <row r="104" spans="1:11" x14ac:dyDescent="0.3">
      <c r="A104" t="s">
        <v>111</v>
      </c>
      <c r="B104" t="s">
        <v>160</v>
      </c>
      <c r="C104" t="s">
        <v>167</v>
      </c>
      <c r="D104">
        <v>42096</v>
      </c>
      <c r="E104" s="6">
        <v>42722</v>
      </c>
      <c r="G104" t="s">
        <v>181</v>
      </c>
      <c r="H104" t="str">
        <f>IF(ISBLANK(B104), "Unknown",B104)</f>
        <v>Alice Brown</v>
      </c>
      <c r="I104" t="str">
        <f>IF(ISBLANK(C104),"Unknown",C104)</f>
        <v>HR</v>
      </c>
      <c r="J104" t="str">
        <f t="shared" si="3"/>
        <v>Female</v>
      </c>
      <c r="K104" s="5">
        <f>IF(ISBLANK(F104),AVERAGE(Table1[Performance Rating]),F104)</f>
        <v>2.8719999999999999</v>
      </c>
    </row>
    <row r="105" spans="1:11" x14ac:dyDescent="0.3">
      <c r="A105" t="s">
        <v>112</v>
      </c>
      <c r="B105" t="s">
        <v>160</v>
      </c>
      <c r="C105" t="s">
        <v>170</v>
      </c>
      <c r="D105">
        <v>79145</v>
      </c>
      <c r="E105" s="6">
        <v>42729</v>
      </c>
      <c r="F105">
        <v>5</v>
      </c>
      <c r="G105" t="s">
        <v>179</v>
      </c>
      <c r="H105" t="str">
        <f>IF(ISBLANK(B105), "Unknown",B105)</f>
        <v>Alice Brown</v>
      </c>
      <c r="I105" t="str">
        <f>IF(ISBLANK(C105),"Unknown",C105)</f>
        <v>Marketing</v>
      </c>
      <c r="J105" t="str">
        <f t="shared" si="3"/>
        <v>Other</v>
      </c>
      <c r="K105" s="5">
        <f>IF(ISBLANK(F105),AVERAGE(Table1[Performance Rating]),F105)</f>
        <v>5</v>
      </c>
    </row>
    <row r="106" spans="1:11" x14ac:dyDescent="0.3">
      <c r="A106" t="s">
        <v>113</v>
      </c>
      <c r="B106" t="s">
        <v>162</v>
      </c>
      <c r="D106">
        <v>61556</v>
      </c>
      <c r="E106" s="6">
        <v>42736</v>
      </c>
      <c r="F106">
        <v>1</v>
      </c>
      <c r="H106" t="str">
        <f>IF(ISBLANK(B106), "Unknown",B106)</f>
        <v>Jane Smith</v>
      </c>
      <c r="I106" t="str">
        <f>IF(ISBLANK(C106),"Unknown",C106)</f>
        <v>Unknown</v>
      </c>
      <c r="J106" t="str">
        <f t="shared" si="3"/>
        <v>Unknown</v>
      </c>
      <c r="K106" s="5">
        <f>IF(ISBLANK(F106),AVERAGE(Table1[Performance Rating]),F106)</f>
        <v>1</v>
      </c>
    </row>
    <row r="107" spans="1:11" x14ac:dyDescent="0.3">
      <c r="A107" t="s">
        <v>114</v>
      </c>
      <c r="C107" t="s">
        <v>167</v>
      </c>
      <c r="D107">
        <v>87963</v>
      </c>
      <c r="E107" s="6">
        <v>42743</v>
      </c>
      <c r="F107">
        <v>3</v>
      </c>
      <c r="G107" t="s">
        <v>179</v>
      </c>
      <c r="H107" t="str">
        <f>IF(ISBLANK(B107), "Unknown",B107)</f>
        <v>Unknown</v>
      </c>
      <c r="I107" t="str">
        <f>IF(ISBLANK(C107),"Unknown",C107)</f>
        <v>HR</v>
      </c>
      <c r="J107" t="str">
        <f t="shared" si="3"/>
        <v>Other</v>
      </c>
      <c r="K107" s="5">
        <f>IF(ISBLANK(F107),AVERAGE(Table1[Performance Rating]),F107)</f>
        <v>3</v>
      </c>
    </row>
    <row r="108" spans="1:11" x14ac:dyDescent="0.3">
      <c r="A108" t="s">
        <v>115</v>
      </c>
      <c r="B108" t="s">
        <v>159</v>
      </c>
      <c r="C108" t="s">
        <v>169</v>
      </c>
      <c r="D108">
        <v>48325</v>
      </c>
      <c r="E108" s="6">
        <v>42750</v>
      </c>
      <c r="G108" t="s">
        <v>180</v>
      </c>
      <c r="H108" t="str">
        <f>IF(ISBLANK(B108), "Unknown",B108)</f>
        <v>Eve Adams</v>
      </c>
      <c r="I108" t="str">
        <f>IF(ISBLANK(C108),"Unknown",C108)</f>
        <v>IT</v>
      </c>
      <c r="J108" t="str">
        <f t="shared" si="3"/>
        <v>Male</v>
      </c>
      <c r="K108" s="5">
        <f>IF(ISBLANK(F108),AVERAGE(Table1[Performance Rating]),F108)</f>
        <v>2.8719999999999999</v>
      </c>
    </row>
    <row r="109" spans="1:11" x14ac:dyDescent="0.3">
      <c r="A109" t="s">
        <v>116</v>
      </c>
      <c r="B109" t="s">
        <v>163</v>
      </c>
      <c r="C109" t="s">
        <v>170</v>
      </c>
      <c r="D109">
        <v>86412</v>
      </c>
      <c r="E109" s="6">
        <v>42757</v>
      </c>
      <c r="F109">
        <v>2</v>
      </c>
      <c r="G109" t="s">
        <v>181</v>
      </c>
      <c r="H109" t="str">
        <f>IF(ISBLANK(B109), "Unknown",B109)</f>
        <v>Sam Wilson</v>
      </c>
      <c r="I109" t="str">
        <f>IF(ISBLANK(C109),"Unknown",C109)</f>
        <v>Marketing</v>
      </c>
      <c r="J109" t="str">
        <f t="shared" si="3"/>
        <v>Female</v>
      </c>
      <c r="K109" s="5">
        <f>IF(ISBLANK(F109),AVERAGE(Table1[Performance Rating]),F109)</f>
        <v>2</v>
      </c>
    </row>
    <row r="110" spans="1:11" x14ac:dyDescent="0.3">
      <c r="A110" t="s">
        <v>117</v>
      </c>
      <c r="B110" t="s">
        <v>163</v>
      </c>
      <c r="C110" t="s">
        <v>167</v>
      </c>
      <c r="D110">
        <v>66761</v>
      </c>
      <c r="E110" s="6">
        <v>42764</v>
      </c>
      <c r="F110">
        <v>1</v>
      </c>
      <c r="H110" t="str">
        <f>IF(ISBLANK(B110), "Unknown",B110)</f>
        <v>Sam Wilson</v>
      </c>
      <c r="I110" t="str">
        <f>IF(ISBLANK(C110),"Unknown",C110)</f>
        <v>HR</v>
      </c>
      <c r="J110" t="str">
        <f t="shared" si="3"/>
        <v>Unknown</v>
      </c>
      <c r="K110" s="5">
        <f>IF(ISBLANK(F110),AVERAGE(Table1[Performance Rating]),F110)</f>
        <v>1</v>
      </c>
    </row>
    <row r="111" spans="1:11" x14ac:dyDescent="0.3">
      <c r="A111" t="s">
        <v>118</v>
      </c>
      <c r="B111" t="s">
        <v>162</v>
      </c>
      <c r="D111">
        <v>88850</v>
      </c>
      <c r="E111" s="6">
        <v>42771</v>
      </c>
      <c r="F111">
        <v>1</v>
      </c>
      <c r="G111" t="s">
        <v>181</v>
      </c>
      <c r="H111" t="str">
        <f>IF(ISBLANK(B111), "Unknown",B111)</f>
        <v>Jane Smith</v>
      </c>
      <c r="I111" t="str">
        <f>IF(ISBLANK(C111),"Unknown",C111)</f>
        <v>Unknown</v>
      </c>
      <c r="J111" t="str">
        <f t="shared" si="3"/>
        <v>Female</v>
      </c>
      <c r="K111" s="5">
        <f>IF(ISBLANK(F111),AVERAGE(Table1[Performance Rating]),F111)</f>
        <v>1</v>
      </c>
    </row>
    <row r="112" spans="1:11" x14ac:dyDescent="0.3">
      <c r="A112" t="s">
        <v>119</v>
      </c>
      <c r="B112" t="s">
        <v>164</v>
      </c>
      <c r="C112" t="s">
        <v>168</v>
      </c>
      <c r="D112">
        <v>31293</v>
      </c>
      <c r="E112" s="6"/>
      <c r="F112">
        <v>2</v>
      </c>
      <c r="G112" t="s">
        <v>181</v>
      </c>
      <c r="H112" t="str">
        <f>IF(ISBLANK(B112), "Unknown",B112)</f>
        <v>Chris Lee</v>
      </c>
      <c r="I112" t="str">
        <f>IF(ISBLANK(C112),"Unknown",C112)</f>
        <v>Sales</v>
      </c>
      <c r="J112" t="str">
        <f t="shared" si="3"/>
        <v>Female</v>
      </c>
      <c r="K112" s="5">
        <f>IF(ISBLANK(F112),AVERAGE(Table1[Performance Rating]),F112)</f>
        <v>2</v>
      </c>
    </row>
    <row r="113" spans="1:11" x14ac:dyDescent="0.3">
      <c r="A113" t="s">
        <v>120</v>
      </c>
      <c r="B113" t="s">
        <v>164</v>
      </c>
      <c r="C113" t="s">
        <v>169</v>
      </c>
      <c r="D113">
        <v>34306</v>
      </c>
      <c r="E113" s="6">
        <v>42785</v>
      </c>
      <c r="F113">
        <v>5</v>
      </c>
      <c r="G113" t="s">
        <v>181</v>
      </c>
      <c r="H113" t="str">
        <f>IF(ISBLANK(B113), "Unknown",B113)</f>
        <v>Chris Lee</v>
      </c>
      <c r="I113" t="str">
        <f>IF(ISBLANK(C113),"Unknown",C113)</f>
        <v>IT</v>
      </c>
      <c r="J113" t="str">
        <f t="shared" si="3"/>
        <v>Female</v>
      </c>
      <c r="K113" s="5">
        <f>IF(ISBLANK(F113),AVERAGE(Table1[Performance Rating]),F113)</f>
        <v>5</v>
      </c>
    </row>
    <row r="114" spans="1:11" x14ac:dyDescent="0.3">
      <c r="A114" t="s">
        <v>121</v>
      </c>
      <c r="B114" t="s">
        <v>159</v>
      </c>
      <c r="C114" t="s">
        <v>166</v>
      </c>
      <c r="D114">
        <v>78330</v>
      </c>
      <c r="E114" s="6">
        <v>42792</v>
      </c>
      <c r="G114" t="s">
        <v>179</v>
      </c>
      <c r="H114" t="str">
        <f>IF(ISBLANK(B114), "Unknown",B114)</f>
        <v>Eve Adams</v>
      </c>
      <c r="I114" t="str">
        <f>IF(ISBLANK(C114),"Unknown",C114)</f>
        <v>Finance</v>
      </c>
      <c r="J114" t="str">
        <f t="shared" si="3"/>
        <v>Other</v>
      </c>
      <c r="K114" s="5">
        <f>IF(ISBLANK(F114),AVERAGE(Table1[Performance Rating]),F114)</f>
        <v>2.8719999999999999</v>
      </c>
    </row>
    <row r="115" spans="1:11" x14ac:dyDescent="0.3">
      <c r="A115" t="s">
        <v>122</v>
      </c>
      <c r="B115" t="s">
        <v>160</v>
      </c>
      <c r="C115" t="s">
        <v>169</v>
      </c>
      <c r="D115">
        <v>47653</v>
      </c>
      <c r="E115" s="6">
        <v>42799</v>
      </c>
      <c r="F115">
        <v>1</v>
      </c>
      <c r="G115" t="s">
        <v>180</v>
      </c>
      <c r="H115" t="str">
        <f>IF(ISBLANK(B115), "Unknown",B115)</f>
        <v>Alice Brown</v>
      </c>
      <c r="I115" t="str">
        <f>IF(ISBLANK(C115),"Unknown",C115)</f>
        <v>IT</v>
      </c>
      <c r="J115" t="str">
        <f t="shared" si="3"/>
        <v>Male</v>
      </c>
      <c r="K115" s="5">
        <f>IF(ISBLANK(F115),AVERAGE(Table1[Performance Rating]),F115)</f>
        <v>1</v>
      </c>
    </row>
    <row r="116" spans="1:11" x14ac:dyDescent="0.3">
      <c r="A116" t="s">
        <v>123</v>
      </c>
      <c r="B116" t="s">
        <v>159</v>
      </c>
      <c r="C116" t="s">
        <v>170</v>
      </c>
      <c r="D116">
        <v>44627</v>
      </c>
      <c r="E116" s="6">
        <v>42806</v>
      </c>
      <c r="F116">
        <v>4</v>
      </c>
      <c r="H116" t="str">
        <f>IF(ISBLANK(B116), "Unknown",B116)</f>
        <v>Eve Adams</v>
      </c>
      <c r="I116" t="str">
        <f>IF(ISBLANK(C116),"Unknown",C116)</f>
        <v>Marketing</v>
      </c>
      <c r="J116" t="str">
        <f t="shared" si="3"/>
        <v>Unknown</v>
      </c>
      <c r="K116" s="5">
        <f>IF(ISBLANK(F116),AVERAGE(Table1[Performance Rating]),F116)</f>
        <v>4</v>
      </c>
    </row>
    <row r="117" spans="1:11" x14ac:dyDescent="0.3">
      <c r="A117" t="s">
        <v>124</v>
      </c>
      <c r="B117" t="s">
        <v>165</v>
      </c>
      <c r="C117" t="s">
        <v>167</v>
      </c>
      <c r="D117">
        <v>92343</v>
      </c>
      <c r="E117" s="6">
        <v>42813</v>
      </c>
      <c r="F117">
        <v>4</v>
      </c>
      <c r="G117" t="s">
        <v>181</v>
      </c>
      <c r="H117" t="str">
        <f>IF(ISBLANK(B117), "Unknown",B117)</f>
        <v>Bob Johnson</v>
      </c>
      <c r="I117" t="str">
        <f>IF(ISBLANK(C117),"Unknown",C117)</f>
        <v>HR</v>
      </c>
      <c r="J117" t="str">
        <f t="shared" si="3"/>
        <v>Female</v>
      </c>
      <c r="K117" s="5">
        <f>IF(ISBLANK(F117),AVERAGE(Table1[Performance Rating]),F117)</f>
        <v>4</v>
      </c>
    </row>
    <row r="118" spans="1:11" x14ac:dyDescent="0.3">
      <c r="A118" t="s">
        <v>125</v>
      </c>
      <c r="B118" t="s">
        <v>165</v>
      </c>
      <c r="C118" t="s">
        <v>170</v>
      </c>
      <c r="D118">
        <v>38837</v>
      </c>
      <c r="E118" s="6">
        <v>42820</v>
      </c>
      <c r="F118">
        <v>5</v>
      </c>
      <c r="G118" t="s">
        <v>181</v>
      </c>
      <c r="H118" t="str">
        <f>IF(ISBLANK(B118), "Unknown",B118)</f>
        <v>Bob Johnson</v>
      </c>
      <c r="I118" t="str">
        <f>IF(ISBLANK(C118),"Unknown",C118)</f>
        <v>Marketing</v>
      </c>
      <c r="J118" t="str">
        <f t="shared" si="3"/>
        <v>Female</v>
      </c>
      <c r="K118" s="5">
        <f>IF(ISBLANK(F118),AVERAGE(Table1[Performance Rating]),F118)</f>
        <v>5</v>
      </c>
    </row>
    <row r="119" spans="1:11" x14ac:dyDescent="0.3">
      <c r="A119" t="s">
        <v>126</v>
      </c>
      <c r="B119" t="s">
        <v>165</v>
      </c>
      <c r="C119" t="s">
        <v>170</v>
      </c>
      <c r="D119">
        <v>73483</v>
      </c>
      <c r="E119" s="6">
        <v>42827</v>
      </c>
      <c r="F119">
        <v>1</v>
      </c>
      <c r="H119" t="str">
        <f>IF(ISBLANK(B119), "Unknown",B119)</f>
        <v>Bob Johnson</v>
      </c>
      <c r="I119" t="str">
        <f>IF(ISBLANK(C119),"Unknown",C119)</f>
        <v>Marketing</v>
      </c>
      <c r="J119" t="str">
        <f t="shared" si="3"/>
        <v>Unknown</v>
      </c>
      <c r="K119" s="5">
        <f>IF(ISBLANK(F119),AVERAGE(Table1[Performance Rating]),F119)</f>
        <v>1</v>
      </c>
    </row>
    <row r="120" spans="1:11" x14ac:dyDescent="0.3">
      <c r="A120" t="s">
        <v>127</v>
      </c>
      <c r="B120" t="s">
        <v>164</v>
      </c>
      <c r="C120" t="s">
        <v>168</v>
      </c>
      <c r="D120">
        <v>95032</v>
      </c>
      <c r="E120" s="6">
        <v>42834</v>
      </c>
      <c r="F120">
        <v>3</v>
      </c>
      <c r="H120" t="str">
        <f>IF(ISBLANK(B120), "Unknown",B120)</f>
        <v>Chris Lee</v>
      </c>
      <c r="I120" t="str">
        <f>IF(ISBLANK(C120),"Unknown",C120)</f>
        <v>Sales</v>
      </c>
      <c r="J120" t="str">
        <f t="shared" si="3"/>
        <v>Unknown</v>
      </c>
      <c r="K120" s="5">
        <f>IF(ISBLANK(F120),AVERAGE(Table1[Performance Rating]),F120)</f>
        <v>3</v>
      </c>
    </row>
    <row r="121" spans="1:11" x14ac:dyDescent="0.3">
      <c r="A121" t="s">
        <v>128</v>
      </c>
      <c r="B121" t="s">
        <v>159</v>
      </c>
      <c r="C121" t="s">
        <v>168</v>
      </c>
      <c r="D121">
        <v>44358</v>
      </c>
      <c r="E121" s="6">
        <v>42841</v>
      </c>
      <c r="G121" t="s">
        <v>181</v>
      </c>
      <c r="H121" t="str">
        <f>IF(ISBLANK(B121), "Unknown",B121)</f>
        <v>Eve Adams</v>
      </c>
      <c r="I121" t="str">
        <f>IF(ISBLANK(C121),"Unknown",C121)</f>
        <v>Sales</v>
      </c>
      <c r="J121" t="str">
        <f t="shared" si="3"/>
        <v>Female</v>
      </c>
      <c r="K121" s="5">
        <f>IF(ISBLANK(F121),AVERAGE(Table1[Performance Rating]),F121)</f>
        <v>2.8719999999999999</v>
      </c>
    </row>
    <row r="122" spans="1:11" x14ac:dyDescent="0.3">
      <c r="A122" t="s">
        <v>129</v>
      </c>
      <c r="C122" t="s">
        <v>169</v>
      </c>
      <c r="D122" t="s">
        <v>177</v>
      </c>
      <c r="E122" s="6"/>
      <c r="F122">
        <v>5</v>
      </c>
      <c r="G122" t="s">
        <v>178</v>
      </c>
      <c r="H122" t="str">
        <f>IF(ISBLANK(B122), "Unknown",B122)</f>
        <v>Unknown</v>
      </c>
      <c r="I122" t="str">
        <f>IF(ISBLANK(C122),"Unknown",C122)</f>
        <v>IT</v>
      </c>
      <c r="J122" t="str">
        <f t="shared" si="3"/>
        <v>Unknown</v>
      </c>
      <c r="K122" s="5">
        <f>IF(ISBLANK(F122),AVERAGE(Table1[Performance Rating]),F122)</f>
        <v>5</v>
      </c>
    </row>
    <row r="123" spans="1:11" x14ac:dyDescent="0.3">
      <c r="A123" t="s">
        <v>130</v>
      </c>
      <c r="B123" t="s">
        <v>164</v>
      </c>
      <c r="C123" t="s">
        <v>168</v>
      </c>
      <c r="D123">
        <v>45676</v>
      </c>
      <c r="E123" s="6">
        <v>42855</v>
      </c>
      <c r="F123">
        <v>2</v>
      </c>
      <c r="H123" t="str">
        <f>IF(ISBLANK(B123), "Unknown",B123)</f>
        <v>Chris Lee</v>
      </c>
      <c r="I123" t="str">
        <f>IF(ISBLANK(C123),"Unknown",C123)</f>
        <v>Sales</v>
      </c>
      <c r="J123" t="str">
        <f t="shared" si="3"/>
        <v>Unknown</v>
      </c>
      <c r="K123" s="5">
        <f>IF(ISBLANK(F123),AVERAGE(Table1[Performance Rating]),F123)</f>
        <v>2</v>
      </c>
    </row>
    <row r="124" spans="1:11" x14ac:dyDescent="0.3">
      <c r="A124" t="s">
        <v>131</v>
      </c>
      <c r="B124" t="s">
        <v>165</v>
      </c>
      <c r="C124" t="s">
        <v>168</v>
      </c>
      <c r="D124">
        <v>52036</v>
      </c>
      <c r="E124" s="6">
        <v>42862</v>
      </c>
      <c r="F124">
        <v>3</v>
      </c>
      <c r="G124" t="s">
        <v>180</v>
      </c>
      <c r="H124" t="str">
        <f>IF(ISBLANK(B124), "Unknown",B124)</f>
        <v>Bob Johnson</v>
      </c>
      <c r="I124" t="str">
        <f>IF(ISBLANK(C124),"Unknown",C124)</f>
        <v>Sales</v>
      </c>
      <c r="J124" t="str">
        <f t="shared" si="3"/>
        <v>Male</v>
      </c>
      <c r="K124" s="5">
        <f>IF(ISBLANK(F124),AVERAGE(Table1[Performance Rating]),F124)</f>
        <v>3</v>
      </c>
    </row>
    <row r="125" spans="1:11" x14ac:dyDescent="0.3">
      <c r="A125" t="s">
        <v>132</v>
      </c>
      <c r="B125" t="s">
        <v>162</v>
      </c>
      <c r="D125">
        <v>30357</v>
      </c>
      <c r="E125" s="6">
        <v>42869</v>
      </c>
      <c r="F125">
        <v>5</v>
      </c>
      <c r="G125" t="s">
        <v>180</v>
      </c>
      <c r="H125" t="str">
        <f>IF(ISBLANK(B125), "Unknown",B125)</f>
        <v>Jane Smith</v>
      </c>
      <c r="I125" t="str">
        <f>IF(ISBLANK(C125),"Unknown",C125)</f>
        <v>Unknown</v>
      </c>
      <c r="J125" t="str">
        <f t="shared" si="3"/>
        <v>Male</v>
      </c>
      <c r="K125" s="5">
        <f>IF(ISBLANK(F125),AVERAGE(Table1[Performance Rating]),F125)</f>
        <v>5</v>
      </c>
    </row>
    <row r="126" spans="1:11" x14ac:dyDescent="0.3">
      <c r="A126" t="s">
        <v>133</v>
      </c>
      <c r="B126" t="s">
        <v>161</v>
      </c>
      <c r="C126" t="s">
        <v>169</v>
      </c>
      <c r="D126">
        <v>60034</v>
      </c>
      <c r="E126" s="6">
        <v>42876</v>
      </c>
      <c r="F126">
        <v>1</v>
      </c>
      <c r="G126" t="s">
        <v>181</v>
      </c>
      <c r="H126" t="str">
        <f>IF(ISBLANK(B126), "Unknown",B126)</f>
        <v>John Doe</v>
      </c>
      <c r="I126" t="str">
        <f>IF(ISBLANK(C126),"Unknown",C126)</f>
        <v>IT</v>
      </c>
      <c r="J126" t="str">
        <f t="shared" si="3"/>
        <v>Female</v>
      </c>
      <c r="K126" s="5">
        <f>IF(ISBLANK(F126),AVERAGE(Table1[Performance Rating]),F126)</f>
        <v>1</v>
      </c>
    </row>
    <row r="127" spans="1:11" x14ac:dyDescent="0.3">
      <c r="A127" t="s">
        <v>134</v>
      </c>
      <c r="B127" t="s">
        <v>161</v>
      </c>
      <c r="C127" t="s">
        <v>166</v>
      </c>
      <c r="D127">
        <v>90019</v>
      </c>
      <c r="E127" s="6">
        <v>42883</v>
      </c>
      <c r="F127">
        <v>5</v>
      </c>
      <c r="H127" t="str">
        <f>IF(ISBLANK(B127), "Unknown",B127)</f>
        <v>John Doe</v>
      </c>
      <c r="I127" t="str">
        <f>IF(ISBLANK(C127),"Unknown",C127)</f>
        <v>Finance</v>
      </c>
      <c r="J127" t="str">
        <f t="shared" si="3"/>
        <v>Unknown</v>
      </c>
      <c r="K127" s="5">
        <f>IF(ISBLANK(F127),AVERAGE(Table1[Performance Rating]),F127)</f>
        <v>5</v>
      </c>
    </row>
    <row r="128" spans="1:11" x14ac:dyDescent="0.3">
      <c r="A128" t="s">
        <v>135</v>
      </c>
      <c r="B128" t="s">
        <v>165</v>
      </c>
      <c r="D128">
        <v>71494</v>
      </c>
      <c r="E128" s="6">
        <v>42890</v>
      </c>
      <c r="F128">
        <v>3</v>
      </c>
      <c r="G128" t="s">
        <v>180</v>
      </c>
      <c r="H128" t="str">
        <f>IF(ISBLANK(B128), "Unknown",B128)</f>
        <v>Bob Johnson</v>
      </c>
      <c r="I128" t="str">
        <f>IF(ISBLANK(C128),"Unknown",C128)</f>
        <v>Unknown</v>
      </c>
      <c r="J128" t="str">
        <f t="shared" si="3"/>
        <v>Male</v>
      </c>
      <c r="K128" s="5">
        <f>IF(ISBLANK(F128),AVERAGE(Table1[Performance Rating]),F128)</f>
        <v>3</v>
      </c>
    </row>
    <row r="129" spans="1:11" x14ac:dyDescent="0.3">
      <c r="A129" t="s">
        <v>136</v>
      </c>
      <c r="B129" t="s">
        <v>161</v>
      </c>
      <c r="C129" t="s">
        <v>166</v>
      </c>
      <c r="D129">
        <v>91953</v>
      </c>
      <c r="E129" s="6">
        <v>42897</v>
      </c>
      <c r="F129">
        <v>2</v>
      </c>
      <c r="G129" t="s">
        <v>180</v>
      </c>
      <c r="H129" t="str">
        <f>IF(ISBLANK(B129), "Unknown",B129)</f>
        <v>John Doe</v>
      </c>
      <c r="I129" t="str">
        <f>IF(ISBLANK(C129),"Unknown",C129)</f>
        <v>Finance</v>
      </c>
      <c r="J129" t="str">
        <f t="shared" si="3"/>
        <v>Male</v>
      </c>
      <c r="K129" s="5">
        <f>IF(ISBLANK(F129),AVERAGE(Table1[Performance Rating]),F129)</f>
        <v>2</v>
      </c>
    </row>
    <row r="130" spans="1:11" x14ac:dyDescent="0.3">
      <c r="A130" t="s">
        <v>137</v>
      </c>
      <c r="B130" t="s">
        <v>164</v>
      </c>
      <c r="C130" t="s">
        <v>168</v>
      </c>
      <c r="D130">
        <v>30402</v>
      </c>
      <c r="E130" s="6">
        <v>42904</v>
      </c>
      <c r="F130">
        <v>1</v>
      </c>
      <c r="H130" t="str">
        <f>IF(ISBLANK(B130), "Unknown",B130)</f>
        <v>Chris Lee</v>
      </c>
      <c r="I130" t="str">
        <f>IF(ISBLANK(C130),"Unknown",C130)</f>
        <v>Sales</v>
      </c>
      <c r="J130" t="str">
        <f t="shared" ref="J130:J151" si="4">IF(ISBLANK(G130),"Unknown",G130)</f>
        <v>Unknown</v>
      </c>
      <c r="K130" s="5">
        <f>IF(ISBLANK(F130),AVERAGE(Table1[Performance Rating]),F130)</f>
        <v>1</v>
      </c>
    </row>
    <row r="131" spans="1:11" x14ac:dyDescent="0.3">
      <c r="A131" t="s">
        <v>138</v>
      </c>
      <c r="B131" t="s">
        <v>165</v>
      </c>
      <c r="D131">
        <v>62994</v>
      </c>
      <c r="E131" s="6">
        <v>42911</v>
      </c>
      <c r="H131" t="str">
        <f>IF(ISBLANK(B131), "Unknown",B131)</f>
        <v>Bob Johnson</v>
      </c>
      <c r="I131" t="str">
        <f>IF(ISBLANK(C131),"Unknown",C131)</f>
        <v>Unknown</v>
      </c>
      <c r="J131" t="str">
        <f t="shared" si="4"/>
        <v>Unknown</v>
      </c>
      <c r="K131" s="5">
        <f>IF(ISBLANK(F131),AVERAGE(Table1[Performance Rating]),F131)</f>
        <v>2.8719999999999999</v>
      </c>
    </row>
    <row r="132" spans="1:11" x14ac:dyDescent="0.3">
      <c r="A132" t="s">
        <v>139</v>
      </c>
      <c r="B132" t="s">
        <v>160</v>
      </c>
      <c r="C132" t="s">
        <v>168</v>
      </c>
      <c r="D132">
        <v>48289</v>
      </c>
      <c r="E132" s="6"/>
      <c r="F132">
        <v>3</v>
      </c>
      <c r="G132" t="s">
        <v>180</v>
      </c>
      <c r="H132" t="str">
        <f>IF(ISBLANK(B132), "Unknown",B132)</f>
        <v>Alice Brown</v>
      </c>
      <c r="I132" t="str">
        <f>IF(ISBLANK(C132),"Unknown",C132)</f>
        <v>Sales</v>
      </c>
      <c r="J132" t="str">
        <f t="shared" si="4"/>
        <v>Male</v>
      </c>
      <c r="K132" s="5">
        <f>IF(ISBLANK(F132),AVERAGE(Table1[Performance Rating]),F132)</f>
        <v>3</v>
      </c>
    </row>
    <row r="133" spans="1:11" x14ac:dyDescent="0.3">
      <c r="A133" t="s">
        <v>140</v>
      </c>
      <c r="B133" t="s">
        <v>163</v>
      </c>
      <c r="C133" t="s">
        <v>170</v>
      </c>
      <c r="D133">
        <v>34402</v>
      </c>
      <c r="E133" s="6">
        <v>42925</v>
      </c>
      <c r="F133">
        <v>3</v>
      </c>
      <c r="G133" t="s">
        <v>179</v>
      </c>
      <c r="H133" t="str">
        <f>IF(ISBLANK(B133), "Unknown",B133)</f>
        <v>Sam Wilson</v>
      </c>
      <c r="I133" t="str">
        <f>IF(ISBLANK(C133),"Unknown",C133)</f>
        <v>Marketing</v>
      </c>
      <c r="J133" t="str">
        <f t="shared" si="4"/>
        <v>Other</v>
      </c>
      <c r="K133" s="5">
        <f>IF(ISBLANK(F133),AVERAGE(Table1[Performance Rating]),F133)</f>
        <v>3</v>
      </c>
    </row>
    <row r="134" spans="1:11" x14ac:dyDescent="0.3">
      <c r="A134" t="s">
        <v>141</v>
      </c>
      <c r="B134" t="s">
        <v>159</v>
      </c>
      <c r="C134" t="s">
        <v>167</v>
      </c>
      <c r="D134">
        <v>38678</v>
      </c>
      <c r="E134" s="6">
        <v>42932</v>
      </c>
      <c r="F134">
        <v>3</v>
      </c>
      <c r="G134" t="s">
        <v>179</v>
      </c>
      <c r="H134" t="str">
        <f>IF(ISBLANK(B134), "Unknown",B134)</f>
        <v>Eve Adams</v>
      </c>
      <c r="I134" t="str">
        <f>IF(ISBLANK(C134),"Unknown",C134)</f>
        <v>HR</v>
      </c>
      <c r="J134" t="str">
        <f t="shared" si="4"/>
        <v>Other</v>
      </c>
      <c r="K134" s="5">
        <f>IF(ISBLANK(F134),AVERAGE(Table1[Performance Rating]),F134)</f>
        <v>3</v>
      </c>
    </row>
    <row r="135" spans="1:11" x14ac:dyDescent="0.3">
      <c r="A135" t="s">
        <v>142</v>
      </c>
      <c r="B135" t="s">
        <v>164</v>
      </c>
      <c r="C135" t="s">
        <v>167</v>
      </c>
      <c r="D135">
        <v>45758</v>
      </c>
      <c r="E135" s="6">
        <v>42939</v>
      </c>
      <c r="F135">
        <v>3</v>
      </c>
      <c r="H135" t="str">
        <f>IF(ISBLANK(B135), "Unknown",B135)</f>
        <v>Chris Lee</v>
      </c>
      <c r="I135" t="str">
        <f>IF(ISBLANK(C135),"Unknown",C135)</f>
        <v>HR</v>
      </c>
      <c r="J135" t="str">
        <f t="shared" si="4"/>
        <v>Unknown</v>
      </c>
      <c r="K135" s="5">
        <f>IF(ISBLANK(F135),AVERAGE(Table1[Performance Rating]),F135)</f>
        <v>3</v>
      </c>
    </row>
    <row r="136" spans="1:11" x14ac:dyDescent="0.3">
      <c r="A136" t="s">
        <v>143</v>
      </c>
      <c r="B136" t="s">
        <v>159</v>
      </c>
      <c r="C136" t="s">
        <v>170</v>
      </c>
      <c r="D136">
        <v>62476</v>
      </c>
      <c r="E136" s="6">
        <v>42946</v>
      </c>
      <c r="F136">
        <v>1</v>
      </c>
      <c r="G136" t="s">
        <v>179</v>
      </c>
      <c r="H136" t="str">
        <f>IF(ISBLANK(B136), "Unknown",B136)</f>
        <v>Eve Adams</v>
      </c>
      <c r="I136" t="str">
        <f>IF(ISBLANK(C136),"Unknown",C136)</f>
        <v>Marketing</v>
      </c>
      <c r="J136" t="str">
        <f t="shared" si="4"/>
        <v>Other</v>
      </c>
      <c r="K136" s="5">
        <f>IF(ISBLANK(F136),AVERAGE(Table1[Performance Rating]),F136)</f>
        <v>1</v>
      </c>
    </row>
    <row r="137" spans="1:11" x14ac:dyDescent="0.3">
      <c r="A137" t="s">
        <v>144</v>
      </c>
      <c r="C137" t="s">
        <v>169</v>
      </c>
      <c r="D137">
        <v>39280</v>
      </c>
      <c r="E137" s="6">
        <v>42953</v>
      </c>
      <c r="F137">
        <v>3</v>
      </c>
      <c r="G137" t="s">
        <v>181</v>
      </c>
      <c r="H137" t="str">
        <f>IF(ISBLANK(B137), "Unknown",B137)</f>
        <v>Unknown</v>
      </c>
      <c r="I137" t="str">
        <f>IF(ISBLANK(C137),"Unknown",C137)</f>
        <v>IT</v>
      </c>
      <c r="J137" t="str">
        <f t="shared" si="4"/>
        <v>Female</v>
      </c>
      <c r="K137" s="5">
        <f>IF(ISBLANK(F137),AVERAGE(Table1[Performance Rating]),F137)</f>
        <v>3</v>
      </c>
    </row>
    <row r="138" spans="1:11" x14ac:dyDescent="0.3">
      <c r="A138" t="s">
        <v>145</v>
      </c>
      <c r="B138" t="s">
        <v>162</v>
      </c>
      <c r="C138" t="s">
        <v>166</v>
      </c>
      <c r="D138">
        <v>60335</v>
      </c>
      <c r="E138" s="6">
        <v>42960</v>
      </c>
      <c r="F138">
        <v>4</v>
      </c>
      <c r="G138" t="s">
        <v>179</v>
      </c>
      <c r="H138" t="str">
        <f>IF(ISBLANK(B138), "Unknown",B138)</f>
        <v>Jane Smith</v>
      </c>
      <c r="I138" t="str">
        <f>IF(ISBLANK(C138),"Unknown",C138)</f>
        <v>Finance</v>
      </c>
      <c r="J138" t="str">
        <f t="shared" si="4"/>
        <v>Other</v>
      </c>
      <c r="K138" s="5">
        <f>IF(ISBLANK(F138),AVERAGE(Table1[Performance Rating]),F138)</f>
        <v>4</v>
      </c>
    </row>
    <row r="139" spans="1:11" x14ac:dyDescent="0.3">
      <c r="A139" t="s">
        <v>146</v>
      </c>
      <c r="B139" t="s">
        <v>164</v>
      </c>
      <c r="C139" t="s">
        <v>167</v>
      </c>
      <c r="D139">
        <v>84968</v>
      </c>
      <c r="E139" s="6">
        <v>42967</v>
      </c>
      <c r="H139" t="str">
        <f>IF(ISBLANK(B139), "Unknown",B139)</f>
        <v>Chris Lee</v>
      </c>
      <c r="I139" t="str">
        <f>IF(ISBLANK(C139),"Unknown",C139)</f>
        <v>HR</v>
      </c>
      <c r="J139" t="str">
        <f t="shared" si="4"/>
        <v>Unknown</v>
      </c>
      <c r="K139" s="5">
        <f>IF(ISBLANK(F139),AVERAGE(Table1[Performance Rating]),F139)</f>
        <v>2.8719999999999999</v>
      </c>
    </row>
    <row r="140" spans="1:11" x14ac:dyDescent="0.3">
      <c r="A140" t="s">
        <v>147</v>
      </c>
      <c r="B140" t="s">
        <v>164</v>
      </c>
      <c r="C140" t="s">
        <v>170</v>
      </c>
      <c r="D140">
        <v>84750</v>
      </c>
      <c r="E140" s="6">
        <v>42974</v>
      </c>
      <c r="F140">
        <v>4</v>
      </c>
      <c r="G140" t="s">
        <v>181</v>
      </c>
      <c r="H140" t="str">
        <f>IF(ISBLANK(B140), "Unknown",B140)</f>
        <v>Chris Lee</v>
      </c>
      <c r="I140" t="str">
        <f>IF(ISBLANK(C140),"Unknown",C140)</f>
        <v>Marketing</v>
      </c>
      <c r="J140" t="str">
        <f t="shared" si="4"/>
        <v>Female</v>
      </c>
      <c r="K140" s="5">
        <f>IF(ISBLANK(F140),AVERAGE(Table1[Performance Rating]),F140)</f>
        <v>4</v>
      </c>
    </row>
    <row r="141" spans="1:11" x14ac:dyDescent="0.3">
      <c r="A141" t="s">
        <v>148</v>
      </c>
      <c r="B141" t="s">
        <v>165</v>
      </c>
      <c r="C141" t="s">
        <v>169</v>
      </c>
      <c r="D141">
        <v>73348</v>
      </c>
      <c r="E141" s="6">
        <v>42981</v>
      </c>
      <c r="F141">
        <v>2</v>
      </c>
      <c r="H141" t="str">
        <f>IF(ISBLANK(B141), "Unknown",B141)</f>
        <v>Bob Johnson</v>
      </c>
      <c r="I141" t="str">
        <f>IF(ISBLANK(C141),"Unknown",C141)</f>
        <v>IT</v>
      </c>
      <c r="J141" t="str">
        <f t="shared" si="4"/>
        <v>Unknown</v>
      </c>
      <c r="K141" s="5">
        <f>IF(ISBLANK(F141),AVERAGE(Table1[Performance Rating]),F141)</f>
        <v>2</v>
      </c>
    </row>
    <row r="142" spans="1:11" x14ac:dyDescent="0.3">
      <c r="A142" t="s">
        <v>149</v>
      </c>
      <c r="B142" t="s">
        <v>164</v>
      </c>
      <c r="C142" t="s">
        <v>168</v>
      </c>
      <c r="D142" t="s">
        <v>177</v>
      </c>
      <c r="E142" s="6">
        <v>42988</v>
      </c>
      <c r="F142">
        <v>4</v>
      </c>
      <c r="G142" t="s">
        <v>179</v>
      </c>
      <c r="H142" t="str">
        <f>IF(ISBLANK(B142), "Unknown",B142)</f>
        <v>Chris Lee</v>
      </c>
      <c r="I142" t="str">
        <f>IF(ISBLANK(C142),"Unknown",C142)</f>
        <v>Sales</v>
      </c>
      <c r="J142" t="str">
        <f t="shared" si="4"/>
        <v>Other</v>
      </c>
      <c r="K142" s="5">
        <f>IF(ISBLANK(F142),AVERAGE(Table1[Performance Rating]),F142)</f>
        <v>4</v>
      </c>
    </row>
    <row r="143" spans="1:11" x14ac:dyDescent="0.3">
      <c r="A143" t="s">
        <v>150</v>
      </c>
      <c r="B143" t="s">
        <v>162</v>
      </c>
      <c r="C143" t="s">
        <v>170</v>
      </c>
      <c r="D143">
        <v>66882</v>
      </c>
      <c r="E143" s="6">
        <v>42995</v>
      </c>
      <c r="F143">
        <v>5</v>
      </c>
      <c r="G143" t="s">
        <v>179</v>
      </c>
      <c r="H143" t="str">
        <f>IF(ISBLANK(B143), "Unknown",B143)</f>
        <v>Jane Smith</v>
      </c>
      <c r="I143" t="str">
        <f>IF(ISBLANK(C143),"Unknown",C143)</f>
        <v>Marketing</v>
      </c>
      <c r="J143" t="str">
        <f t="shared" si="4"/>
        <v>Other</v>
      </c>
      <c r="K143" s="5">
        <f>IF(ISBLANK(F143),AVERAGE(Table1[Performance Rating]),F143)</f>
        <v>5</v>
      </c>
    </row>
    <row r="144" spans="1:11" x14ac:dyDescent="0.3">
      <c r="A144" t="s">
        <v>151</v>
      </c>
      <c r="B144" t="s">
        <v>160</v>
      </c>
      <c r="C144" t="s">
        <v>170</v>
      </c>
      <c r="D144">
        <v>86775</v>
      </c>
      <c r="E144" s="6">
        <v>43002</v>
      </c>
      <c r="F144">
        <v>3</v>
      </c>
      <c r="G144" t="s">
        <v>179</v>
      </c>
      <c r="H144" t="str">
        <f>IF(ISBLANK(B144), "Unknown",B144)</f>
        <v>Alice Brown</v>
      </c>
      <c r="I144" t="str">
        <f>IF(ISBLANK(C144),"Unknown",C144)</f>
        <v>Marketing</v>
      </c>
      <c r="J144" t="str">
        <f t="shared" si="4"/>
        <v>Other</v>
      </c>
      <c r="K144" s="5">
        <f>IF(ISBLANK(F144),AVERAGE(Table1[Performance Rating]),F144)</f>
        <v>3</v>
      </c>
    </row>
    <row r="145" spans="1:11" x14ac:dyDescent="0.3">
      <c r="A145" t="s">
        <v>152</v>
      </c>
      <c r="B145" t="s">
        <v>164</v>
      </c>
      <c r="C145" t="s">
        <v>168</v>
      </c>
      <c r="D145">
        <v>91620</v>
      </c>
      <c r="E145" s="6">
        <v>43009</v>
      </c>
      <c r="H145" t="str">
        <f>IF(ISBLANK(B145), "Unknown",B145)</f>
        <v>Chris Lee</v>
      </c>
      <c r="I145" t="str">
        <f>IF(ISBLANK(C145),"Unknown",C145)</f>
        <v>Sales</v>
      </c>
      <c r="J145" t="str">
        <f t="shared" si="4"/>
        <v>Unknown</v>
      </c>
      <c r="K145" s="5">
        <f>IF(ISBLANK(F145),AVERAGE(Table1[Performance Rating]),F145)</f>
        <v>2.8719999999999999</v>
      </c>
    </row>
    <row r="146" spans="1:11" x14ac:dyDescent="0.3">
      <c r="A146" t="s">
        <v>153</v>
      </c>
      <c r="B146" t="s">
        <v>159</v>
      </c>
      <c r="D146">
        <v>94148</v>
      </c>
      <c r="E146" s="6">
        <v>43016</v>
      </c>
      <c r="F146">
        <v>2</v>
      </c>
      <c r="H146" t="str">
        <f>IF(ISBLANK(B146), "Unknown",B146)</f>
        <v>Eve Adams</v>
      </c>
      <c r="I146" t="str">
        <f>IF(ISBLANK(C146),"Unknown",C146)</f>
        <v>Unknown</v>
      </c>
      <c r="J146" t="str">
        <f t="shared" si="4"/>
        <v>Unknown</v>
      </c>
      <c r="K146" s="5">
        <f>IF(ISBLANK(F146),AVERAGE(Table1[Performance Rating]),F146)</f>
        <v>2</v>
      </c>
    </row>
    <row r="147" spans="1:11" x14ac:dyDescent="0.3">
      <c r="A147" t="s">
        <v>154</v>
      </c>
      <c r="B147" t="s">
        <v>163</v>
      </c>
      <c r="C147" t="s">
        <v>168</v>
      </c>
      <c r="D147">
        <v>35627</v>
      </c>
      <c r="E147" s="6">
        <v>43023</v>
      </c>
      <c r="F147">
        <v>5</v>
      </c>
      <c r="G147" t="s">
        <v>181</v>
      </c>
      <c r="H147" t="str">
        <f>IF(ISBLANK(B147), "Unknown",B147)</f>
        <v>Sam Wilson</v>
      </c>
      <c r="I147" t="str">
        <f>IF(ISBLANK(C147),"Unknown",C147)</f>
        <v>Sales</v>
      </c>
      <c r="J147" t="str">
        <f t="shared" si="4"/>
        <v>Female</v>
      </c>
      <c r="K147" s="5">
        <f>IF(ISBLANK(F147),AVERAGE(Table1[Performance Rating]),F147)</f>
        <v>5</v>
      </c>
    </row>
    <row r="148" spans="1:11" x14ac:dyDescent="0.3">
      <c r="A148" t="s">
        <v>155</v>
      </c>
      <c r="B148" t="s">
        <v>161</v>
      </c>
      <c r="C148" t="s">
        <v>170</v>
      </c>
      <c r="D148">
        <v>57141</v>
      </c>
      <c r="E148" s="6">
        <v>43030</v>
      </c>
      <c r="F148">
        <v>2</v>
      </c>
      <c r="H148" t="str">
        <f>IF(ISBLANK(B148), "Unknown",B148)</f>
        <v>John Doe</v>
      </c>
      <c r="I148" t="str">
        <f>IF(ISBLANK(C148),"Unknown",C148)</f>
        <v>Marketing</v>
      </c>
      <c r="J148" t="str">
        <f t="shared" si="4"/>
        <v>Unknown</v>
      </c>
      <c r="K148" s="5">
        <f>IF(ISBLANK(F148),AVERAGE(Table1[Performance Rating]),F148)</f>
        <v>2</v>
      </c>
    </row>
    <row r="149" spans="1:11" x14ac:dyDescent="0.3">
      <c r="A149" t="s">
        <v>156</v>
      </c>
      <c r="B149" t="s">
        <v>165</v>
      </c>
      <c r="C149" t="s">
        <v>168</v>
      </c>
      <c r="D149">
        <v>65270</v>
      </c>
      <c r="E149" s="6">
        <v>43037</v>
      </c>
      <c r="F149">
        <v>1</v>
      </c>
      <c r="H149" t="str">
        <f>IF(ISBLANK(B149), "Unknown",B149)</f>
        <v>Bob Johnson</v>
      </c>
      <c r="I149" t="str">
        <f>IF(ISBLANK(C149),"Unknown",C149)</f>
        <v>Sales</v>
      </c>
      <c r="J149" t="str">
        <f t="shared" si="4"/>
        <v>Unknown</v>
      </c>
      <c r="K149" s="5">
        <f>IF(ISBLANK(F149),AVERAGE(Table1[Performance Rating]),F149)</f>
        <v>1</v>
      </c>
    </row>
    <row r="150" spans="1:11" x14ac:dyDescent="0.3">
      <c r="A150" t="s">
        <v>157</v>
      </c>
      <c r="B150" t="s">
        <v>165</v>
      </c>
      <c r="D150">
        <v>67335</v>
      </c>
      <c r="E150" s="6">
        <v>43044</v>
      </c>
      <c r="F150">
        <v>1</v>
      </c>
      <c r="G150" t="s">
        <v>179</v>
      </c>
      <c r="H150" t="str">
        <f>IF(ISBLANK(B150), "Unknown",B150)</f>
        <v>Bob Johnson</v>
      </c>
      <c r="I150" t="str">
        <f>IF(ISBLANK(C150),"Unknown",C150)</f>
        <v>Unknown</v>
      </c>
      <c r="J150" t="str">
        <f t="shared" si="4"/>
        <v>Other</v>
      </c>
      <c r="K150" s="5">
        <f>IF(ISBLANK(F150),AVERAGE(Table1[Performance Rating]),F150)</f>
        <v>1</v>
      </c>
    </row>
    <row r="151" spans="1:11" x14ac:dyDescent="0.3">
      <c r="A151" t="s">
        <v>158</v>
      </c>
      <c r="B151" t="s">
        <v>163</v>
      </c>
      <c r="C151" t="s">
        <v>170</v>
      </c>
      <c r="D151">
        <v>98475</v>
      </c>
      <c r="E151" s="6">
        <v>43051</v>
      </c>
      <c r="F151">
        <v>5</v>
      </c>
      <c r="G151" t="s">
        <v>179</v>
      </c>
      <c r="H151" t="str">
        <f>IF(ISBLANK(B151), "Unknown",B151)</f>
        <v>Sam Wilson</v>
      </c>
      <c r="I151" t="str">
        <f>IF(ISBLANK(C151),"Unknown",C151)</f>
        <v>Marketing</v>
      </c>
      <c r="J151" t="str">
        <f t="shared" si="4"/>
        <v>Other</v>
      </c>
      <c r="K151" s="5">
        <f>IF(ISBLANK(F151),AVERAGE(Table1[Performance Rating]),F151)</f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06C6-0078-4654-9D0D-8BEEF78E25E6}">
  <dimension ref="A1:M151"/>
  <sheetViews>
    <sheetView workbookViewId="0">
      <selection activeCell="M2" sqref="M2"/>
    </sheetView>
  </sheetViews>
  <sheetFormatPr defaultRowHeight="14.4" x14ac:dyDescent="0.3"/>
  <cols>
    <col min="1" max="1" width="13.44140625" customWidth="1"/>
    <col min="2" max="2" width="14.21875" customWidth="1"/>
    <col min="3" max="3" width="13" customWidth="1"/>
    <col min="5" max="5" width="18" customWidth="1"/>
    <col min="6" max="6" width="19.5546875" customWidth="1"/>
    <col min="7" max="7" width="9" customWidth="1"/>
    <col min="8" max="8" width="21.6640625" customWidth="1"/>
    <col min="9" max="9" width="23.109375" customWidth="1"/>
    <col min="10" max="10" width="19" customWidth="1"/>
    <col min="11" max="11" width="13" customWidth="1"/>
    <col min="12" max="12" width="15.6640625" customWidth="1"/>
    <col min="13" max="13" width="14.441406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285</v>
      </c>
      <c r="J1" s="2" t="s">
        <v>300</v>
      </c>
      <c r="K1" s="2" t="s">
        <v>301</v>
      </c>
      <c r="L1" s="2" t="s">
        <v>303</v>
      </c>
      <c r="M1" s="2" t="s">
        <v>305</v>
      </c>
    </row>
    <row r="2" spans="1:13" x14ac:dyDescent="0.3">
      <c r="A2" t="s">
        <v>9</v>
      </c>
      <c r="B2" t="s">
        <v>171</v>
      </c>
      <c r="C2" t="s">
        <v>166</v>
      </c>
      <c r="D2" t="s">
        <v>177</v>
      </c>
      <c r="F2">
        <v>2</v>
      </c>
      <c r="G2" t="s">
        <v>178</v>
      </c>
      <c r="H2" t="s">
        <v>182</v>
      </c>
      <c r="I2" t="str">
        <f>_xlfn.CONCAT(A2,)</f>
        <v>EMP1000</v>
      </c>
      <c r="M2" t="str">
        <f t="shared" ref="M2:M33" si="0">TRIM(D2)</f>
        <v>N/A</v>
      </c>
    </row>
    <row r="3" spans="1:13" x14ac:dyDescent="0.3">
      <c r="A3" t="s">
        <v>10</v>
      </c>
      <c r="B3" t="s">
        <v>159</v>
      </c>
      <c r="C3" t="s">
        <v>167</v>
      </c>
      <c r="D3">
        <v>54255</v>
      </c>
      <c r="E3" s="1">
        <v>42015</v>
      </c>
      <c r="F3">
        <v>1</v>
      </c>
      <c r="G3" t="s">
        <v>179</v>
      </c>
      <c r="H3" t="s">
        <v>183</v>
      </c>
      <c r="I3" t="str">
        <f>_xlfn.CONCAT(A3, ", ",B3)</f>
        <v>EMP1001, Eve Adams</v>
      </c>
      <c r="J3" t="s">
        <v>286</v>
      </c>
      <c r="K3" t="s">
        <v>287</v>
      </c>
      <c r="L3" t="s">
        <v>159</v>
      </c>
      <c r="M3" t="str">
        <f t="shared" si="0"/>
        <v>54255</v>
      </c>
    </row>
    <row r="4" spans="1:13" x14ac:dyDescent="0.3">
      <c r="A4" t="s">
        <v>11</v>
      </c>
      <c r="B4" t="s">
        <v>160</v>
      </c>
      <c r="C4" t="s">
        <v>166</v>
      </c>
      <c r="D4">
        <v>63184</v>
      </c>
      <c r="E4" s="1">
        <v>42022</v>
      </c>
      <c r="F4">
        <v>2</v>
      </c>
      <c r="H4" t="s">
        <v>184</v>
      </c>
      <c r="I4" t="str">
        <f t="shared" ref="I4:I67" si="1">_xlfn.CONCAT(A4, ", ",B4)</f>
        <v>EMP1002, Alice Brown</v>
      </c>
      <c r="J4" t="s">
        <v>288</v>
      </c>
      <c r="K4" t="s">
        <v>289</v>
      </c>
      <c r="L4" t="s">
        <v>160</v>
      </c>
      <c r="M4" t="str">
        <f t="shared" si="0"/>
        <v>63184</v>
      </c>
    </row>
    <row r="5" spans="1:13" x14ac:dyDescent="0.3">
      <c r="A5" t="s">
        <v>12</v>
      </c>
      <c r="B5" t="s">
        <v>161</v>
      </c>
      <c r="C5" t="s">
        <v>168</v>
      </c>
      <c r="D5">
        <v>94406</v>
      </c>
      <c r="E5" s="1">
        <v>42029</v>
      </c>
      <c r="F5">
        <v>1</v>
      </c>
      <c r="G5" t="s">
        <v>180</v>
      </c>
      <c r="H5" t="s">
        <v>185</v>
      </c>
      <c r="I5" t="str">
        <f t="shared" si="1"/>
        <v>EMP1003, John Doe</v>
      </c>
      <c r="J5" t="s">
        <v>290</v>
      </c>
      <c r="K5" t="s">
        <v>291</v>
      </c>
      <c r="L5" t="s">
        <v>161</v>
      </c>
      <c r="M5" t="str">
        <f t="shared" si="0"/>
        <v>94406</v>
      </c>
    </row>
    <row r="6" spans="1:13" x14ac:dyDescent="0.3">
      <c r="A6" t="s">
        <v>13</v>
      </c>
      <c r="B6" t="s">
        <v>162</v>
      </c>
      <c r="C6" t="s">
        <v>168</v>
      </c>
      <c r="D6">
        <v>64120</v>
      </c>
      <c r="E6" s="1">
        <v>42036</v>
      </c>
      <c r="F6">
        <v>1</v>
      </c>
      <c r="G6" t="s">
        <v>180</v>
      </c>
      <c r="H6" t="s">
        <v>186</v>
      </c>
      <c r="I6" t="str">
        <f t="shared" si="1"/>
        <v>EMP1004, Jane Smith</v>
      </c>
      <c r="J6" t="s">
        <v>292</v>
      </c>
      <c r="K6" t="s">
        <v>293</v>
      </c>
      <c r="L6" t="s">
        <v>162</v>
      </c>
      <c r="M6" t="str">
        <f t="shared" si="0"/>
        <v>64120</v>
      </c>
    </row>
    <row r="7" spans="1:13" x14ac:dyDescent="0.3">
      <c r="A7" t="s">
        <v>14</v>
      </c>
      <c r="B7" t="s">
        <v>160</v>
      </c>
      <c r="C7" t="s">
        <v>169</v>
      </c>
      <c r="D7">
        <v>78421</v>
      </c>
      <c r="E7" s="1">
        <v>42043</v>
      </c>
      <c r="F7">
        <v>2</v>
      </c>
      <c r="G7" t="s">
        <v>181</v>
      </c>
      <c r="H7" t="s">
        <v>187</v>
      </c>
      <c r="I7" t="str">
        <f t="shared" si="1"/>
        <v>EMP1005, Alice Brown</v>
      </c>
      <c r="J7" t="s">
        <v>288</v>
      </c>
      <c r="K7" t="s">
        <v>289</v>
      </c>
      <c r="L7" t="s">
        <v>160</v>
      </c>
      <c r="M7" t="str">
        <f t="shared" si="0"/>
        <v>78421</v>
      </c>
    </row>
    <row r="8" spans="1:13" x14ac:dyDescent="0.3">
      <c r="A8" t="s">
        <v>15</v>
      </c>
      <c r="B8" t="s">
        <v>163</v>
      </c>
      <c r="C8" t="s">
        <v>168</v>
      </c>
      <c r="D8">
        <v>67721</v>
      </c>
      <c r="E8" s="1">
        <v>42050</v>
      </c>
      <c r="G8" t="s">
        <v>180</v>
      </c>
      <c r="H8" t="s">
        <v>185</v>
      </c>
      <c r="I8" t="str">
        <f t="shared" si="1"/>
        <v>EMP1006, Sam Wilson</v>
      </c>
      <c r="J8" t="s">
        <v>294</v>
      </c>
      <c r="K8" t="s">
        <v>295</v>
      </c>
      <c r="L8" t="s">
        <v>163</v>
      </c>
      <c r="M8" t="str">
        <f t="shared" si="0"/>
        <v>67721</v>
      </c>
    </row>
    <row r="9" spans="1:13" x14ac:dyDescent="0.3">
      <c r="A9" t="s">
        <v>16</v>
      </c>
      <c r="B9" t="s">
        <v>164</v>
      </c>
      <c r="C9" t="s">
        <v>170</v>
      </c>
      <c r="D9">
        <v>35364</v>
      </c>
      <c r="E9" s="1">
        <v>42057</v>
      </c>
      <c r="F9">
        <v>2</v>
      </c>
      <c r="G9" t="s">
        <v>179</v>
      </c>
      <c r="H9" t="s">
        <v>188</v>
      </c>
      <c r="I9" t="str">
        <f t="shared" si="1"/>
        <v>EMP1007, Chris Lee</v>
      </c>
      <c r="J9" t="s">
        <v>296</v>
      </c>
      <c r="K9" t="s">
        <v>297</v>
      </c>
      <c r="L9" t="s">
        <v>164</v>
      </c>
      <c r="M9" t="str">
        <f t="shared" si="0"/>
        <v>35364</v>
      </c>
    </row>
    <row r="10" spans="1:13" x14ac:dyDescent="0.3">
      <c r="A10" t="s">
        <v>17</v>
      </c>
      <c r="B10" t="s">
        <v>160</v>
      </c>
      <c r="C10" t="s">
        <v>169</v>
      </c>
      <c r="D10">
        <v>97881</v>
      </c>
      <c r="E10" s="1">
        <v>42064</v>
      </c>
      <c r="G10" t="s">
        <v>181</v>
      </c>
      <c r="H10" t="s">
        <v>189</v>
      </c>
      <c r="I10" t="str">
        <f t="shared" si="1"/>
        <v>EMP1008, Alice Brown</v>
      </c>
      <c r="J10" t="s">
        <v>288</v>
      </c>
      <c r="K10" t="s">
        <v>289</v>
      </c>
      <c r="L10" t="s">
        <v>160</v>
      </c>
      <c r="M10" t="str">
        <f t="shared" si="0"/>
        <v>97881</v>
      </c>
    </row>
    <row r="11" spans="1:13" x14ac:dyDescent="0.3">
      <c r="A11" t="s">
        <v>18</v>
      </c>
      <c r="B11" t="s">
        <v>164</v>
      </c>
      <c r="C11" t="s">
        <v>167</v>
      </c>
      <c r="D11">
        <v>91846</v>
      </c>
      <c r="E11" s="1">
        <v>42071</v>
      </c>
      <c r="G11" t="s">
        <v>180</v>
      </c>
      <c r="H11" t="s">
        <v>190</v>
      </c>
      <c r="I11" t="str">
        <f t="shared" si="1"/>
        <v>EMP1009, Chris Lee</v>
      </c>
      <c r="J11" t="s">
        <v>296</v>
      </c>
      <c r="K11" t="s">
        <v>297</v>
      </c>
      <c r="L11" t="s">
        <v>164</v>
      </c>
      <c r="M11" t="str">
        <f t="shared" si="0"/>
        <v>91846</v>
      </c>
    </row>
    <row r="12" spans="1:13" x14ac:dyDescent="0.3">
      <c r="A12" t="s">
        <v>19</v>
      </c>
      <c r="B12" t="s">
        <v>163</v>
      </c>
      <c r="C12" t="s">
        <v>166</v>
      </c>
      <c r="D12">
        <v>64247</v>
      </c>
      <c r="E12" s="1">
        <v>42078</v>
      </c>
      <c r="F12">
        <v>1</v>
      </c>
      <c r="G12" t="s">
        <v>181</v>
      </c>
      <c r="H12" t="s">
        <v>191</v>
      </c>
      <c r="I12" t="str">
        <f t="shared" si="1"/>
        <v>EMP1010, Sam Wilson</v>
      </c>
      <c r="J12" t="s">
        <v>294</v>
      </c>
      <c r="K12" t="s">
        <v>295</v>
      </c>
      <c r="L12" t="s">
        <v>163</v>
      </c>
      <c r="M12" t="str">
        <f t="shared" si="0"/>
        <v>64247</v>
      </c>
    </row>
    <row r="13" spans="1:13" x14ac:dyDescent="0.3">
      <c r="A13" t="s">
        <v>20</v>
      </c>
      <c r="B13" t="s">
        <v>163</v>
      </c>
      <c r="C13" t="s">
        <v>169</v>
      </c>
      <c r="D13">
        <v>91180</v>
      </c>
      <c r="E13" s="1">
        <v>42085</v>
      </c>
      <c r="F13">
        <v>5</v>
      </c>
      <c r="G13" t="s">
        <v>180</v>
      </c>
      <c r="H13" t="s">
        <v>192</v>
      </c>
      <c r="I13" t="str">
        <f t="shared" si="1"/>
        <v>EMP1011, Sam Wilson</v>
      </c>
      <c r="J13" t="s">
        <v>294</v>
      </c>
      <c r="K13" t="s">
        <v>295</v>
      </c>
      <c r="L13" t="s">
        <v>163</v>
      </c>
      <c r="M13" t="str">
        <f t="shared" si="0"/>
        <v>91180</v>
      </c>
    </row>
    <row r="14" spans="1:13" x14ac:dyDescent="0.3">
      <c r="A14" t="s">
        <v>21</v>
      </c>
      <c r="B14" t="s">
        <v>165</v>
      </c>
      <c r="C14" t="s">
        <v>168</v>
      </c>
      <c r="D14">
        <v>96418</v>
      </c>
      <c r="E14" s="1">
        <v>42092</v>
      </c>
      <c r="F14">
        <v>5</v>
      </c>
      <c r="G14" t="s">
        <v>180</v>
      </c>
      <c r="H14" t="s">
        <v>183</v>
      </c>
      <c r="I14" t="str">
        <f t="shared" si="1"/>
        <v>EMP1012, Bob Johnson</v>
      </c>
      <c r="J14" t="s">
        <v>298</v>
      </c>
      <c r="K14" t="s">
        <v>299</v>
      </c>
      <c r="L14" t="s">
        <v>165</v>
      </c>
      <c r="M14" t="str">
        <f t="shared" si="0"/>
        <v>96418</v>
      </c>
    </row>
    <row r="15" spans="1:13" x14ac:dyDescent="0.3">
      <c r="A15" t="s">
        <v>22</v>
      </c>
      <c r="B15" t="s">
        <v>163</v>
      </c>
      <c r="D15">
        <v>62158</v>
      </c>
      <c r="E15" s="1">
        <v>42099</v>
      </c>
      <c r="F15">
        <v>4</v>
      </c>
      <c r="H15" t="s">
        <v>193</v>
      </c>
      <c r="I15" t="str">
        <f t="shared" si="1"/>
        <v>EMP1013, Sam Wilson</v>
      </c>
      <c r="J15" t="s">
        <v>294</v>
      </c>
      <c r="K15" t="s">
        <v>295</v>
      </c>
      <c r="L15" t="s">
        <v>163</v>
      </c>
      <c r="M15" t="str">
        <f t="shared" si="0"/>
        <v>62158</v>
      </c>
    </row>
    <row r="16" spans="1:13" x14ac:dyDescent="0.3">
      <c r="A16" t="s">
        <v>23</v>
      </c>
      <c r="B16" t="s">
        <v>162</v>
      </c>
      <c r="C16" t="s">
        <v>167</v>
      </c>
      <c r="D16">
        <v>59894</v>
      </c>
      <c r="E16" s="1">
        <v>42106</v>
      </c>
      <c r="F16">
        <v>2</v>
      </c>
      <c r="G16" t="s">
        <v>180</v>
      </c>
      <c r="H16" t="s">
        <v>194</v>
      </c>
      <c r="I16" t="str">
        <f t="shared" si="1"/>
        <v>EMP1014, Jane Smith</v>
      </c>
      <c r="J16" t="s">
        <v>292</v>
      </c>
      <c r="K16" t="s">
        <v>293</v>
      </c>
      <c r="L16" t="s">
        <v>162</v>
      </c>
      <c r="M16" t="str">
        <f t="shared" si="0"/>
        <v>59894</v>
      </c>
    </row>
    <row r="17" spans="1:13" x14ac:dyDescent="0.3">
      <c r="A17" t="s">
        <v>24</v>
      </c>
      <c r="B17" t="s">
        <v>171</v>
      </c>
      <c r="C17" t="s">
        <v>169</v>
      </c>
      <c r="D17">
        <v>92443</v>
      </c>
      <c r="E17" s="1">
        <v>42113</v>
      </c>
      <c r="F17">
        <v>3</v>
      </c>
      <c r="G17" t="s">
        <v>179</v>
      </c>
      <c r="H17" t="s">
        <v>195</v>
      </c>
      <c r="I17" t="str">
        <f t="shared" si="1"/>
        <v xml:space="preserve">EMP1015,  </v>
      </c>
      <c r="M17" t="str">
        <f t="shared" si="0"/>
        <v>92443</v>
      </c>
    </row>
    <row r="18" spans="1:13" x14ac:dyDescent="0.3">
      <c r="A18" t="s">
        <v>25</v>
      </c>
      <c r="B18" t="s">
        <v>165</v>
      </c>
      <c r="D18">
        <v>90271</v>
      </c>
      <c r="E18" s="1">
        <v>42120</v>
      </c>
      <c r="H18" t="s">
        <v>196</v>
      </c>
      <c r="I18" t="str">
        <f t="shared" si="1"/>
        <v>EMP1016, Bob Johnson</v>
      </c>
      <c r="J18" t="s">
        <v>298</v>
      </c>
      <c r="K18" t="s">
        <v>299</v>
      </c>
      <c r="L18" t="s">
        <v>165</v>
      </c>
      <c r="M18" t="str">
        <f t="shared" si="0"/>
        <v>90271</v>
      </c>
    </row>
    <row r="19" spans="1:13" x14ac:dyDescent="0.3">
      <c r="A19" t="s">
        <v>26</v>
      </c>
      <c r="B19" t="s">
        <v>162</v>
      </c>
      <c r="C19" t="s">
        <v>166</v>
      </c>
      <c r="D19">
        <v>41341</v>
      </c>
      <c r="E19" s="1">
        <v>42127</v>
      </c>
      <c r="F19">
        <v>1</v>
      </c>
      <c r="G19" t="s">
        <v>179</v>
      </c>
      <c r="H19" t="s">
        <v>197</v>
      </c>
      <c r="I19" t="str">
        <f t="shared" si="1"/>
        <v>EMP1017, Jane Smith</v>
      </c>
      <c r="J19" t="s">
        <v>292</v>
      </c>
      <c r="K19" t="s">
        <v>293</v>
      </c>
      <c r="L19" t="s">
        <v>162</v>
      </c>
      <c r="M19" t="str">
        <f t="shared" si="0"/>
        <v>41341</v>
      </c>
    </row>
    <row r="20" spans="1:13" x14ac:dyDescent="0.3">
      <c r="A20" t="s">
        <v>27</v>
      </c>
      <c r="B20" t="s">
        <v>160</v>
      </c>
      <c r="C20" t="s">
        <v>166</v>
      </c>
      <c r="D20">
        <v>73602</v>
      </c>
      <c r="E20" s="1">
        <v>42134</v>
      </c>
      <c r="H20" t="s">
        <v>198</v>
      </c>
      <c r="I20" t="str">
        <f t="shared" si="1"/>
        <v>EMP1018, Alice Brown</v>
      </c>
      <c r="J20" t="s">
        <v>288</v>
      </c>
      <c r="K20" t="s">
        <v>289</v>
      </c>
      <c r="L20" t="s">
        <v>160</v>
      </c>
      <c r="M20" t="str">
        <f t="shared" si="0"/>
        <v>73602</v>
      </c>
    </row>
    <row r="21" spans="1:13" x14ac:dyDescent="0.3">
      <c r="A21" t="s">
        <v>28</v>
      </c>
      <c r="B21" t="s">
        <v>159</v>
      </c>
      <c r="D21">
        <v>67531</v>
      </c>
      <c r="E21" s="1">
        <v>42141</v>
      </c>
      <c r="F21">
        <v>5</v>
      </c>
      <c r="G21" t="s">
        <v>181</v>
      </c>
      <c r="H21" t="s">
        <v>199</v>
      </c>
      <c r="I21" t="str">
        <f t="shared" si="1"/>
        <v>EMP1019, Eve Adams</v>
      </c>
      <c r="J21" t="s">
        <v>286</v>
      </c>
      <c r="K21" t="s">
        <v>287</v>
      </c>
      <c r="L21" t="s">
        <v>159</v>
      </c>
      <c r="M21" t="str">
        <f t="shared" si="0"/>
        <v>67531</v>
      </c>
    </row>
    <row r="22" spans="1:13" x14ac:dyDescent="0.3">
      <c r="A22" t="s">
        <v>29</v>
      </c>
      <c r="B22" t="s">
        <v>162</v>
      </c>
      <c r="C22" t="s">
        <v>167</v>
      </c>
      <c r="D22" t="s">
        <v>177</v>
      </c>
      <c r="E22" s="1">
        <v>42148</v>
      </c>
      <c r="F22">
        <v>2</v>
      </c>
      <c r="G22" t="s">
        <v>179</v>
      </c>
      <c r="H22" t="s">
        <v>200</v>
      </c>
      <c r="I22" t="str">
        <f t="shared" si="1"/>
        <v>EMP1020, Jane Smith</v>
      </c>
      <c r="J22" t="s">
        <v>292</v>
      </c>
      <c r="K22" t="s">
        <v>293</v>
      </c>
      <c r="L22" t="s">
        <v>162</v>
      </c>
      <c r="M22" t="str">
        <f t="shared" si="0"/>
        <v>N/A</v>
      </c>
    </row>
    <row r="23" spans="1:13" x14ac:dyDescent="0.3">
      <c r="A23" t="s">
        <v>30</v>
      </c>
      <c r="B23" t="s">
        <v>162</v>
      </c>
      <c r="C23" t="s">
        <v>167</v>
      </c>
      <c r="D23">
        <v>98922</v>
      </c>
      <c r="E23" s="1">
        <v>42155</v>
      </c>
      <c r="F23">
        <v>4</v>
      </c>
      <c r="H23" t="s">
        <v>201</v>
      </c>
      <c r="I23" t="str">
        <f t="shared" si="1"/>
        <v>EMP1021, Jane Smith</v>
      </c>
      <c r="J23" t="s">
        <v>292</v>
      </c>
      <c r="K23" t="s">
        <v>293</v>
      </c>
      <c r="L23" t="s">
        <v>162</v>
      </c>
      <c r="M23" t="str">
        <f t="shared" si="0"/>
        <v>98922</v>
      </c>
    </row>
    <row r="24" spans="1:13" x14ac:dyDescent="0.3">
      <c r="A24" t="s">
        <v>31</v>
      </c>
      <c r="B24" t="s">
        <v>159</v>
      </c>
      <c r="C24" t="s">
        <v>166</v>
      </c>
      <c r="D24">
        <v>38333</v>
      </c>
      <c r="E24" s="1">
        <v>42162</v>
      </c>
      <c r="F24">
        <v>5</v>
      </c>
      <c r="H24" t="s">
        <v>202</v>
      </c>
      <c r="I24" t="str">
        <f t="shared" si="1"/>
        <v>EMP1022, Eve Adams</v>
      </c>
      <c r="J24" t="s">
        <v>286</v>
      </c>
      <c r="K24" t="s">
        <v>287</v>
      </c>
      <c r="L24" t="s">
        <v>159</v>
      </c>
      <c r="M24" t="str">
        <f t="shared" si="0"/>
        <v>38333</v>
      </c>
    </row>
    <row r="25" spans="1:13" x14ac:dyDescent="0.3">
      <c r="A25" t="s">
        <v>32</v>
      </c>
      <c r="B25" t="s">
        <v>160</v>
      </c>
      <c r="C25" t="s">
        <v>170</v>
      </c>
      <c r="D25">
        <v>36515</v>
      </c>
      <c r="E25" s="1">
        <v>42169</v>
      </c>
      <c r="F25">
        <v>3</v>
      </c>
      <c r="G25" t="s">
        <v>180</v>
      </c>
      <c r="H25" t="s">
        <v>203</v>
      </c>
      <c r="I25" t="str">
        <f t="shared" si="1"/>
        <v>EMP1023, Alice Brown</v>
      </c>
      <c r="J25" t="s">
        <v>288</v>
      </c>
      <c r="K25" t="s">
        <v>289</v>
      </c>
      <c r="L25" t="s">
        <v>160</v>
      </c>
      <c r="M25" t="str">
        <f t="shared" si="0"/>
        <v>36515</v>
      </c>
    </row>
    <row r="26" spans="1:13" x14ac:dyDescent="0.3">
      <c r="A26" t="s">
        <v>33</v>
      </c>
      <c r="B26" t="s">
        <v>163</v>
      </c>
      <c r="C26" t="s">
        <v>166</v>
      </c>
      <c r="D26">
        <v>91005</v>
      </c>
      <c r="E26" s="1">
        <v>42176</v>
      </c>
      <c r="F26">
        <v>1</v>
      </c>
      <c r="G26" t="s">
        <v>179</v>
      </c>
      <c r="H26" t="s">
        <v>204</v>
      </c>
      <c r="I26" t="str">
        <f t="shared" si="1"/>
        <v>EMP1024, Sam Wilson</v>
      </c>
      <c r="J26" t="s">
        <v>294</v>
      </c>
      <c r="K26" t="s">
        <v>295</v>
      </c>
      <c r="L26" t="s">
        <v>163</v>
      </c>
      <c r="M26" t="str">
        <f t="shared" si="0"/>
        <v>91005</v>
      </c>
    </row>
    <row r="27" spans="1:13" x14ac:dyDescent="0.3">
      <c r="A27" t="s">
        <v>34</v>
      </c>
      <c r="B27" t="s">
        <v>164</v>
      </c>
      <c r="D27">
        <v>52272</v>
      </c>
      <c r="E27" s="1">
        <v>42183</v>
      </c>
      <c r="F27">
        <v>3</v>
      </c>
      <c r="H27" t="s">
        <v>205</v>
      </c>
      <c r="I27" t="str">
        <f t="shared" si="1"/>
        <v>EMP1025, Chris Lee</v>
      </c>
      <c r="J27" t="s">
        <v>296</v>
      </c>
      <c r="K27" t="s">
        <v>297</v>
      </c>
      <c r="L27" t="s">
        <v>164</v>
      </c>
      <c r="M27" t="str">
        <f t="shared" si="0"/>
        <v>52272</v>
      </c>
    </row>
    <row r="28" spans="1:13" x14ac:dyDescent="0.3">
      <c r="A28" t="s">
        <v>35</v>
      </c>
      <c r="B28" t="s">
        <v>159</v>
      </c>
      <c r="C28" t="s">
        <v>168</v>
      </c>
      <c r="D28">
        <v>76518</v>
      </c>
      <c r="E28" s="1">
        <v>42190</v>
      </c>
      <c r="F28">
        <v>2</v>
      </c>
      <c r="G28" t="s">
        <v>181</v>
      </c>
      <c r="H28" t="s">
        <v>206</v>
      </c>
      <c r="I28" t="str">
        <f t="shared" si="1"/>
        <v>EMP1026, Eve Adams</v>
      </c>
      <c r="J28" t="s">
        <v>286</v>
      </c>
      <c r="K28" t="s">
        <v>287</v>
      </c>
      <c r="L28" t="s">
        <v>159</v>
      </c>
      <c r="M28" t="str">
        <f t="shared" si="0"/>
        <v>76518</v>
      </c>
    </row>
    <row r="29" spans="1:13" x14ac:dyDescent="0.3">
      <c r="A29" t="s">
        <v>36</v>
      </c>
      <c r="B29" t="s">
        <v>160</v>
      </c>
      <c r="C29" t="s">
        <v>169</v>
      </c>
      <c r="D29">
        <v>41448</v>
      </c>
      <c r="E29" s="1">
        <v>42197</v>
      </c>
      <c r="F29">
        <v>3</v>
      </c>
      <c r="G29" t="s">
        <v>179</v>
      </c>
      <c r="H29" t="s">
        <v>207</v>
      </c>
      <c r="I29" t="str">
        <f t="shared" si="1"/>
        <v>EMP1027, Alice Brown</v>
      </c>
      <c r="J29" t="s">
        <v>288</v>
      </c>
      <c r="K29" t="s">
        <v>289</v>
      </c>
      <c r="L29" t="s">
        <v>160</v>
      </c>
      <c r="M29" t="str">
        <f t="shared" si="0"/>
        <v>41448</v>
      </c>
    </row>
    <row r="30" spans="1:13" x14ac:dyDescent="0.3">
      <c r="A30" t="s">
        <v>37</v>
      </c>
      <c r="B30" t="s">
        <v>161</v>
      </c>
      <c r="C30" t="s">
        <v>167</v>
      </c>
      <c r="D30">
        <v>49282</v>
      </c>
      <c r="E30" s="1">
        <v>42204</v>
      </c>
      <c r="F30">
        <v>2</v>
      </c>
      <c r="G30" t="s">
        <v>181</v>
      </c>
      <c r="H30" t="s">
        <v>208</v>
      </c>
      <c r="I30" t="str">
        <f t="shared" si="1"/>
        <v>EMP1028, John Doe</v>
      </c>
      <c r="J30" t="s">
        <v>290</v>
      </c>
      <c r="K30" t="s">
        <v>291</v>
      </c>
      <c r="L30" t="s">
        <v>161</v>
      </c>
      <c r="M30" t="str">
        <f t="shared" si="0"/>
        <v>49282</v>
      </c>
    </row>
    <row r="31" spans="1:13" x14ac:dyDescent="0.3">
      <c r="A31" t="s">
        <v>38</v>
      </c>
      <c r="B31" t="s">
        <v>165</v>
      </c>
      <c r="C31" t="s">
        <v>170</v>
      </c>
      <c r="D31">
        <v>92959</v>
      </c>
      <c r="E31" s="1">
        <v>42211</v>
      </c>
      <c r="F31">
        <v>5</v>
      </c>
      <c r="H31" t="s">
        <v>209</v>
      </c>
      <c r="I31" t="str">
        <f t="shared" si="1"/>
        <v>EMP1029, Bob Johnson</v>
      </c>
      <c r="J31" t="s">
        <v>298</v>
      </c>
      <c r="K31" t="s">
        <v>299</v>
      </c>
      <c r="L31" t="s">
        <v>165</v>
      </c>
      <c r="M31" t="str">
        <f t="shared" si="0"/>
        <v>92959</v>
      </c>
    </row>
    <row r="32" spans="1:13" x14ac:dyDescent="0.3">
      <c r="A32" t="s">
        <v>39</v>
      </c>
      <c r="B32" t="s">
        <v>171</v>
      </c>
      <c r="C32" t="s">
        <v>170</v>
      </c>
      <c r="D32">
        <v>92259</v>
      </c>
      <c r="F32">
        <v>1</v>
      </c>
      <c r="G32" t="s">
        <v>178</v>
      </c>
      <c r="H32" t="s">
        <v>210</v>
      </c>
      <c r="I32" t="str">
        <f t="shared" si="1"/>
        <v xml:space="preserve">EMP1030,  </v>
      </c>
      <c r="M32" t="str">
        <f t="shared" si="0"/>
        <v>92259</v>
      </c>
    </row>
    <row r="33" spans="1:13" x14ac:dyDescent="0.3">
      <c r="A33" t="s">
        <v>40</v>
      </c>
      <c r="B33" t="s">
        <v>159</v>
      </c>
      <c r="C33" t="s">
        <v>167</v>
      </c>
      <c r="D33">
        <v>92299</v>
      </c>
      <c r="E33" s="1">
        <v>42225</v>
      </c>
      <c r="F33">
        <v>3</v>
      </c>
      <c r="G33" t="s">
        <v>180</v>
      </c>
      <c r="H33" t="s">
        <v>211</v>
      </c>
      <c r="I33" t="str">
        <f t="shared" si="1"/>
        <v>EMP1031, Eve Adams</v>
      </c>
      <c r="J33" t="s">
        <v>286</v>
      </c>
      <c r="K33" t="s">
        <v>287</v>
      </c>
      <c r="L33" t="s">
        <v>159</v>
      </c>
      <c r="M33" t="str">
        <f t="shared" si="0"/>
        <v>92299</v>
      </c>
    </row>
    <row r="34" spans="1:13" x14ac:dyDescent="0.3">
      <c r="A34" t="s">
        <v>41</v>
      </c>
      <c r="B34" t="s">
        <v>163</v>
      </c>
      <c r="C34" t="s">
        <v>167</v>
      </c>
      <c r="D34">
        <v>95586</v>
      </c>
      <c r="E34" s="1">
        <v>42232</v>
      </c>
      <c r="F34">
        <v>3</v>
      </c>
      <c r="G34" t="s">
        <v>179</v>
      </c>
      <c r="H34" t="s">
        <v>212</v>
      </c>
      <c r="I34" t="str">
        <f t="shared" si="1"/>
        <v>EMP1032, Sam Wilson</v>
      </c>
      <c r="J34" t="s">
        <v>294</v>
      </c>
      <c r="K34" t="s">
        <v>295</v>
      </c>
      <c r="L34" t="s">
        <v>163</v>
      </c>
      <c r="M34" t="str">
        <f t="shared" ref="M34:M65" si="2">TRIM(D34)</f>
        <v>95586</v>
      </c>
    </row>
    <row r="35" spans="1:13" x14ac:dyDescent="0.3">
      <c r="A35" t="s">
        <v>42</v>
      </c>
      <c r="B35" t="s">
        <v>164</v>
      </c>
      <c r="D35">
        <v>95367</v>
      </c>
      <c r="E35" s="1">
        <v>42239</v>
      </c>
      <c r="G35" t="s">
        <v>180</v>
      </c>
      <c r="H35" t="s">
        <v>213</v>
      </c>
      <c r="I35" t="str">
        <f t="shared" si="1"/>
        <v>EMP1033, Chris Lee</v>
      </c>
      <c r="J35" t="s">
        <v>296</v>
      </c>
      <c r="K35" t="s">
        <v>297</v>
      </c>
      <c r="L35" t="s">
        <v>164</v>
      </c>
      <c r="M35" t="str">
        <f t="shared" si="2"/>
        <v>95367</v>
      </c>
    </row>
    <row r="36" spans="1:13" x14ac:dyDescent="0.3">
      <c r="A36" t="s">
        <v>43</v>
      </c>
      <c r="B36" t="s">
        <v>161</v>
      </c>
      <c r="C36" t="s">
        <v>168</v>
      </c>
      <c r="D36">
        <v>79549</v>
      </c>
      <c r="E36" s="1">
        <v>42246</v>
      </c>
      <c r="F36">
        <v>3</v>
      </c>
      <c r="H36" t="s">
        <v>214</v>
      </c>
      <c r="I36" t="str">
        <f t="shared" si="1"/>
        <v>EMP1034, John Doe</v>
      </c>
      <c r="J36" t="s">
        <v>290</v>
      </c>
      <c r="K36" t="s">
        <v>291</v>
      </c>
      <c r="L36" t="s">
        <v>161</v>
      </c>
      <c r="M36" t="str">
        <f t="shared" si="2"/>
        <v>79549</v>
      </c>
    </row>
    <row r="37" spans="1:13" x14ac:dyDescent="0.3">
      <c r="A37" t="s">
        <v>44</v>
      </c>
      <c r="B37" t="s">
        <v>160</v>
      </c>
      <c r="D37">
        <v>54463</v>
      </c>
      <c r="E37" s="1">
        <v>42253</v>
      </c>
      <c r="F37">
        <v>4</v>
      </c>
      <c r="G37" t="s">
        <v>180</v>
      </c>
      <c r="H37" t="s">
        <v>182</v>
      </c>
      <c r="I37" t="str">
        <f t="shared" si="1"/>
        <v>EMP1035, Alice Brown</v>
      </c>
      <c r="J37" t="s">
        <v>288</v>
      </c>
      <c r="K37" t="s">
        <v>289</v>
      </c>
      <c r="L37" t="s">
        <v>160</v>
      </c>
      <c r="M37" t="str">
        <f t="shared" si="2"/>
        <v>54463</v>
      </c>
    </row>
    <row r="38" spans="1:13" x14ac:dyDescent="0.3">
      <c r="A38" t="s">
        <v>45</v>
      </c>
      <c r="B38" t="s">
        <v>160</v>
      </c>
      <c r="C38" t="s">
        <v>169</v>
      </c>
      <c r="D38">
        <v>89781</v>
      </c>
      <c r="E38" s="1">
        <v>42260</v>
      </c>
      <c r="G38" t="s">
        <v>181</v>
      </c>
      <c r="H38" t="s">
        <v>215</v>
      </c>
      <c r="I38" t="str">
        <f t="shared" si="1"/>
        <v>EMP1036, Alice Brown</v>
      </c>
      <c r="J38" t="s">
        <v>288</v>
      </c>
      <c r="K38" t="s">
        <v>289</v>
      </c>
      <c r="L38" t="s">
        <v>160</v>
      </c>
      <c r="M38" t="str">
        <f t="shared" si="2"/>
        <v>89781</v>
      </c>
    </row>
    <row r="39" spans="1:13" x14ac:dyDescent="0.3">
      <c r="A39" t="s">
        <v>46</v>
      </c>
      <c r="B39" t="s">
        <v>160</v>
      </c>
      <c r="C39" t="s">
        <v>167</v>
      </c>
      <c r="D39">
        <v>64796</v>
      </c>
      <c r="E39" s="1">
        <v>42267</v>
      </c>
      <c r="G39" t="s">
        <v>179</v>
      </c>
      <c r="H39" t="s">
        <v>216</v>
      </c>
      <c r="I39" t="str">
        <f t="shared" si="1"/>
        <v>EMP1037, Alice Brown</v>
      </c>
      <c r="J39" t="s">
        <v>288</v>
      </c>
      <c r="K39" t="s">
        <v>289</v>
      </c>
      <c r="L39" t="s">
        <v>160</v>
      </c>
      <c r="M39" t="str">
        <f t="shared" si="2"/>
        <v>64796</v>
      </c>
    </row>
    <row r="40" spans="1:13" x14ac:dyDescent="0.3">
      <c r="A40" t="s">
        <v>47</v>
      </c>
      <c r="B40" t="s">
        <v>161</v>
      </c>
      <c r="C40" t="s">
        <v>170</v>
      </c>
      <c r="D40">
        <v>52093</v>
      </c>
      <c r="E40" s="1">
        <v>42274</v>
      </c>
      <c r="F40">
        <v>5</v>
      </c>
      <c r="H40" t="s">
        <v>217</v>
      </c>
      <c r="I40" t="str">
        <f t="shared" si="1"/>
        <v>EMP1038, John Doe</v>
      </c>
      <c r="J40" t="s">
        <v>290</v>
      </c>
      <c r="K40" t="s">
        <v>291</v>
      </c>
      <c r="L40" t="s">
        <v>161</v>
      </c>
      <c r="M40" t="str">
        <f t="shared" si="2"/>
        <v>52093</v>
      </c>
    </row>
    <row r="41" spans="1:13" x14ac:dyDescent="0.3">
      <c r="A41" t="s">
        <v>48</v>
      </c>
      <c r="B41" t="s">
        <v>164</v>
      </c>
      <c r="C41" t="s">
        <v>167</v>
      </c>
      <c r="D41">
        <v>48224</v>
      </c>
      <c r="E41" s="1">
        <v>42281</v>
      </c>
      <c r="F41">
        <v>3</v>
      </c>
      <c r="H41" t="s">
        <v>218</v>
      </c>
      <c r="I41" t="str">
        <f t="shared" si="1"/>
        <v>EMP1039, Chris Lee</v>
      </c>
      <c r="J41" t="s">
        <v>296</v>
      </c>
      <c r="K41" t="s">
        <v>297</v>
      </c>
      <c r="L41" t="s">
        <v>164</v>
      </c>
      <c r="M41" t="str">
        <f t="shared" si="2"/>
        <v>48224</v>
      </c>
    </row>
    <row r="42" spans="1:13" x14ac:dyDescent="0.3">
      <c r="A42" t="s">
        <v>49</v>
      </c>
      <c r="B42" t="s">
        <v>165</v>
      </c>
      <c r="C42" t="s">
        <v>166</v>
      </c>
      <c r="D42" t="s">
        <v>177</v>
      </c>
      <c r="F42">
        <v>4</v>
      </c>
      <c r="G42" t="s">
        <v>181</v>
      </c>
      <c r="H42" t="s">
        <v>219</v>
      </c>
      <c r="I42" t="str">
        <f t="shared" si="1"/>
        <v>EMP1040, Bob Johnson</v>
      </c>
      <c r="J42" t="s">
        <v>298</v>
      </c>
      <c r="K42" t="s">
        <v>299</v>
      </c>
      <c r="L42" t="s">
        <v>165</v>
      </c>
      <c r="M42" t="str">
        <f t="shared" si="2"/>
        <v>N/A</v>
      </c>
    </row>
    <row r="43" spans="1:13" x14ac:dyDescent="0.3">
      <c r="A43" t="s">
        <v>50</v>
      </c>
      <c r="B43" t="s">
        <v>160</v>
      </c>
      <c r="C43" t="s">
        <v>169</v>
      </c>
      <c r="D43">
        <v>33956</v>
      </c>
      <c r="E43" s="1">
        <v>42295</v>
      </c>
      <c r="H43" t="s">
        <v>220</v>
      </c>
      <c r="I43" t="str">
        <f t="shared" si="1"/>
        <v>EMP1041, Alice Brown</v>
      </c>
      <c r="J43" t="s">
        <v>288</v>
      </c>
      <c r="K43" t="s">
        <v>289</v>
      </c>
      <c r="L43" t="s">
        <v>160</v>
      </c>
      <c r="M43" t="str">
        <f t="shared" si="2"/>
        <v>33956</v>
      </c>
    </row>
    <row r="44" spans="1:13" x14ac:dyDescent="0.3">
      <c r="A44" t="s">
        <v>51</v>
      </c>
      <c r="B44" t="s">
        <v>165</v>
      </c>
      <c r="D44">
        <v>64913</v>
      </c>
      <c r="E44" s="1">
        <v>42302</v>
      </c>
      <c r="F44">
        <v>1</v>
      </c>
      <c r="G44" t="s">
        <v>181</v>
      </c>
      <c r="H44" t="s">
        <v>221</v>
      </c>
      <c r="I44" t="str">
        <f t="shared" si="1"/>
        <v>EMP1042, Bob Johnson</v>
      </c>
      <c r="J44" t="s">
        <v>298</v>
      </c>
      <c r="K44" t="s">
        <v>299</v>
      </c>
      <c r="L44" t="s">
        <v>165</v>
      </c>
      <c r="M44" t="str">
        <f t="shared" si="2"/>
        <v>64913</v>
      </c>
    </row>
    <row r="45" spans="1:13" x14ac:dyDescent="0.3">
      <c r="A45" t="s">
        <v>52</v>
      </c>
      <c r="B45" t="s">
        <v>160</v>
      </c>
      <c r="C45" t="s">
        <v>170</v>
      </c>
      <c r="D45">
        <v>35326</v>
      </c>
      <c r="E45" s="1">
        <v>42309</v>
      </c>
      <c r="G45" t="s">
        <v>181</v>
      </c>
      <c r="H45" t="s">
        <v>222</v>
      </c>
      <c r="I45" t="str">
        <f t="shared" si="1"/>
        <v>EMP1043, Alice Brown</v>
      </c>
      <c r="J45" t="s">
        <v>288</v>
      </c>
      <c r="K45" t="s">
        <v>289</v>
      </c>
      <c r="L45" t="s">
        <v>160</v>
      </c>
      <c r="M45" t="str">
        <f t="shared" si="2"/>
        <v>35326</v>
      </c>
    </row>
    <row r="46" spans="1:13" x14ac:dyDescent="0.3">
      <c r="A46" t="s">
        <v>53</v>
      </c>
      <c r="B46" t="s">
        <v>164</v>
      </c>
      <c r="C46" t="s">
        <v>166</v>
      </c>
      <c r="D46">
        <v>81610</v>
      </c>
      <c r="E46" s="1">
        <v>42316</v>
      </c>
      <c r="F46">
        <v>1</v>
      </c>
      <c r="H46" t="s">
        <v>223</v>
      </c>
      <c r="I46" t="str">
        <f t="shared" si="1"/>
        <v>EMP1044, Chris Lee</v>
      </c>
      <c r="J46" t="s">
        <v>296</v>
      </c>
      <c r="K46" t="s">
        <v>297</v>
      </c>
      <c r="L46" t="s">
        <v>164</v>
      </c>
      <c r="M46" t="str">
        <f t="shared" si="2"/>
        <v>81610</v>
      </c>
    </row>
    <row r="47" spans="1:13" x14ac:dyDescent="0.3">
      <c r="A47" t="s">
        <v>54</v>
      </c>
      <c r="B47" t="s">
        <v>171</v>
      </c>
      <c r="C47" t="s">
        <v>167</v>
      </c>
      <c r="D47">
        <v>58962</v>
      </c>
      <c r="E47" s="1">
        <v>42323</v>
      </c>
      <c r="F47">
        <v>3</v>
      </c>
      <c r="G47" t="s">
        <v>179</v>
      </c>
      <c r="H47" t="s">
        <v>183</v>
      </c>
      <c r="I47" t="str">
        <f t="shared" si="1"/>
        <v xml:space="preserve">EMP1045,  </v>
      </c>
      <c r="M47" t="str">
        <f t="shared" si="2"/>
        <v>58962</v>
      </c>
    </row>
    <row r="48" spans="1:13" x14ac:dyDescent="0.3">
      <c r="A48" t="s">
        <v>55</v>
      </c>
      <c r="B48" t="s">
        <v>164</v>
      </c>
      <c r="C48" t="s">
        <v>169</v>
      </c>
      <c r="D48">
        <v>92701</v>
      </c>
      <c r="E48" s="1">
        <v>42330</v>
      </c>
      <c r="F48">
        <v>3</v>
      </c>
      <c r="G48" t="s">
        <v>179</v>
      </c>
      <c r="H48" t="s">
        <v>224</v>
      </c>
      <c r="I48" t="str">
        <f t="shared" si="1"/>
        <v>EMP1046, Chris Lee</v>
      </c>
      <c r="J48" t="s">
        <v>296</v>
      </c>
      <c r="K48" t="s">
        <v>297</v>
      </c>
      <c r="L48" t="s">
        <v>164</v>
      </c>
      <c r="M48" t="str">
        <f t="shared" si="2"/>
        <v>92701</v>
      </c>
    </row>
    <row r="49" spans="1:13" x14ac:dyDescent="0.3">
      <c r="A49" t="s">
        <v>56</v>
      </c>
      <c r="B49" t="s">
        <v>164</v>
      </c>
      <c r="C49" t="s">
        <v>167</v>
      </c>
      <c r="D49">
        <v>58245</v>
      </c>
      <c r="E49" s="1">
        <v>42337</v>
      </c>
      <c r="F49">
        <v>4</v>
      </c>
      <c r="H49" t="s">
        <v>225</v>
      </c>
      <c r="I49" t="str">
        <f t="shared" si="1"/>
        <v>EMP1047, Chris Lee</v>
      </c>
      <c r="J49" t="s">
        <v>296</v>
      </c>
      <c r="K49" t="s">
        <v>297</v>
      </c>
      <c r="L49" t="s">
        <v>164</v>
      </c>
      <c r="M49" t="str">
        <f t="shared" si="2"/>
        <v>58245</v>
      </c>
    </row>
    <row r="50" spans="1:13" x14ac:dyDescent="0.3">
      <c r="A50" t="s">
        <v>57</v>
      </c>
      <c r="B50" t="s">
        <v>161</v>
      </c>
      <c r="C50" t="s">
        <v>166</v>
      </c>
      <c r="D50">
        <v>66513</v>
      </c>
      <c r="E50" s="1">
        <v>42344</v>
      </c>
      <c r="F50">
        <v>2</v>
      </c>
      <c r="G50" t="s">
        <v>179</v>
      </c>
      <c r="H50" t="s">
        <v>187</v>
      </c>
      <c r="I50" t="str">
        <f t="shared" si="1"/>
        <v>EMP1048, John Doe</v>
      </c>
      <c r="J50" t="s">
        <v>290</v>
      </c>
      <c r="K50" t="s">
        <v>291</v>
      </c>
      <c r="L50" t="s">
        <v>161</v>
      </c>
      <c r="M50" t="str">
        <f t="shared" si="2"/>
        <v>66513</v>
      </c>
    </row>
    <row r="51" spans="1:13" x14ac:dyDescent="0.3">
      <c r="A51" t="s">
        <v>58</v>
      </c>
      <c r="B51" t="s">
        <v>159</v>
      </c>
      <c r="C51" t="s">
        <v>167</v>
      </c>
      <c r="D51">
        <v>78720</v>
      </c>
      <c r="E51" s="1">
        <v>42351</v>
      </c>
      <c r="F51">
        <v>5</v>
      </c>
      <c r="G51" t="s">
        <v>181</v>
      </c>
      <c r="H51" t="s">
        <v>219</v>
      </c>
      <c r="I51" t="str">
        <f t="shared" si="1"/>
        <v>EMP1049, Eve Adams</v>
      </c>
      <c r="J51" t="s">
        <v>286</v>
      </c>
      <c r="K51" t="s">
        <v>287</v>
      </c>
      <c r="L51" t="s">
        <v>159</v>
      </c>
      <c r="M51" t="str">
        <f t="shared" si="2"/>
        <v>78720</v>
      </c>
    </row>
    <row r="52" spans="1:13" x14ac:dyDescent="0.3">
      <c r="A52" t="s">
        <v>59</v>
      </c>
      <c r="B52" t="s">
        <v>164</v>
      </c>
      <c r="D52">
        <v>30686</v>
      </c>
      <c r="F52">
        <v>2</v>
      </c>
      <c r="G52" t="s">
        <v>181</v>
      </c>
      <c r="H52" t="s">
        <v>226</v>
      </c>
      <c r="I52" t="str">
        <f t="shared" si="1"/>
        <v>EMP1050, Chris Lee</v>
      </c>
      <c r="J52" t="s">
        <v>296</v>
      </c>
      <c r="K52" t="s">
        <v>297</v>
      </c>
      <c r="L52" t="s">
        <v>164</v>
      </c>
      <c r="M52" t="str">
        <f t="shared" si="2"/>
        <v>30686</v>
      </c>
    </row>
    <row r="53" spans="1:13" x14ac:dyDescent="0.3">
      <c r="A53" t="s">
        <v>60</v>
      </c>
      <c r="B53" t="s">
        <v>163</v>
      </c>
      <c r="C53" t="s">
        <v>168</v>
      </c>
      <c r="D53">
        <v>39423</v>
      </c>
      <c r="E53" s="1">
        <v>42365</v>
      </c>
      <c r="F53">
        <v>5</v>
      </c>
      <c r="H53" t="s">
        <v>227</v>
      </c>
      <c r="I53" t="str">
        <f t="shared" si="1"/>
        <v>EMP1051, Sam Wilson</v>
      </c>
      <c r="J53" t="s">
        <v>294</v>
      </c>
      <c r="K53" t="s">
        <v>295</v>
      </c>
      <c r="L53" t="s">
        <v>163</v>
      </c>
      <c r="M53" t="str">
        <f t="shared" si="2"/>
        <v>39423</v>
      </c>
    </row>
    <row r="54" spans="1:13" x14ac:dyDescent="0.3">
      <c r="A54" t="s">
        <v>61</v>
      </c>
      <c r="B54" t="s">
        <v>159</v>
      </c>
      <c r="C54" t="s">
        <v>170</v>
      </c>
      <c r="D54">
        <v>30280</v>
      </c>
      <c r="E54" s="1">
        <v>42372</v>
      </c>
      <c r="F54">
        <v>1</v>
      </c>
      <c r="H54" t="s">
        <v>228</v>
      </c>
      <c r="I54" t="str">
        <f t="shared" si="1"/>
        <v>EMP1052, Eve Adams</v>
      </c>
      <c r="J54" t="s">
        <v>286</v>
      </c>
      <c r="K54" t="s">
        <v>287</v>
      </c>
      <c r="L54" t="s">
        <v>159</v>
      </c>
      <c r="M54" t="str">
        <f t="shared" si="2"/>
        <v>30280</v>
      </c>
    </row>
    <row r="55" spans="1:13" x14ac:dyDescent="0.3">
      <c r="A55" t="s">
        <v>62</v>
      </c>
      <c r="B55" t="s">
        <v>159</v>
      </c>
      <c r="C55" t="s">
        <v>166</v>
      </c>
      <c r="D55">
        <v>33352</v>
      </c>
      <c r="E55" s="1">
        <v>42379</v>
      </c>
      <c r="F55">
        <v>3</v>
      </c>
      <c r="G55" t="s">
        <v>181</v>
      </c>
      <c r="H55" t="s">
        <v>200</v>
      </c>
      <c r="I55" t="str">
        <f t="shared" si="1"/>
        <v>EMP1053, Eve Adams</v>
      </c>
      <c r="J55" t="s">
        <v>286</v>
      </c>
      <c r="K55" t="s">
        <v>287</v>
      </c>
      <c r="L55" t="s">
        <v>159</v>
      </c>
      <c r="M55" t="str">
        <f t="shared" si="2"/>
        <v>33352</v>
      </c>
    </row>
    <row r="56" spans="1:13" x14ac:dyDescent="0.3">
      <c r="A56" t="s">
        <v>63</v>
      </c>
      <c r="B56" t="s">
        <v>165</v>
      </c>
      <c r="C56" t="s">
        <v>170</v>
      </c>
      <c r="D56">
        <v>75633</v>
      </c>
      <c r="E56" s="1">
        <v>42386</v>
      </c>
      <c r="F56">
        <v>5</v>
      </c>
      <c r="G56" t="s">
        <v>179</v>
      </c>
      <c r="H56" t="s">
        <v>229</v>
      </c>
      <c r="I56" t="str">
        <f t="shared" si="1"/>
        <v>EMP1054, Bob Johnson</v>
      </c>
      <c r="J56" t="s">
        <v>298</v>
      </c>
      <c r="K56" t="s">
        <v>299</v>
      </c>
      <c r="L56" t="s">
        <v>165</v>
      </c>
      <c r="M56" t="str">
        <f t="shared" si="2"/>
        <v>75633</v>
      </c>
    </row>
    <row r="57" spans="1:13" x14ac:dyDescent="0.3">
      <c r="A57" t="s">
        <v>64</v>
      </c>
      <c r="B57" t="s">
        <v>164</v>
      </c>
      <c r="D57">
        <v>74815</v>
      </c>
      <c r="E57" s="1">
        <v>42393</v>
      </c>
      <c r="F57">
        <v>5</v>
      </c>
      <c r="G57" t="s">
        <v>181</v>
      </c>
      <c r="H57" t="s">
        <v>230</v>
      </c>
      <c r="I57" t="str">
        <f t="shared" si="1"/>
        <v>EMP1055, Chris Lee</v>
      </c>
      <c r="J57" t="s">
        <v>296</v>
      </c>
      <c r="K57" t="s">
        <v>297</v>
      </c>
      <c r="L57" t="s">
        <v>164</v>
      </c>
      <c r="M57" t="str">
        <f t="shared" si="2"/>
        <v>74815</v>
      </c>
    </row>
    <row r="58" spans="1:13" x14ac:dyDescent="0.3">
      <c r="A58" t="s">
        <v>65</v>
      </c>
      <c r="B58" t="s">
        <v>161</v>
      </c>
      <c r="C58" t="s">
        <v>168</v>
      </c>
      <c r="D58">
        <v>60011</v>
      </c>
      <c r="E58" s="1">
        <v>42400</v>
      </c>
      <c r="F58">
        <v>1</v>
      </c>
      <c r="G58" t="s">
        <v>180</v>
      </c>
      <c r="H58" t="s">
        <v>231</v>
      </c>
      <c r="I58" t="str">
        <f t="shared" si="1"/>
        <v>EMP1056, John Doe</v>
      </c>
      <c r="J58" t="s">
        <v>290</v>
      </c>
      <c r="K58" t="s">
        <v>291</v>
      </c>
      <c r="L58" t="s">
        <v>161</v>
      </c>
      <c r="M58" t="str">
        <f t="shared" si="2"/>
        <v>60011</v>
      </c>
    </row>
    <row r="59" spans="1:13" x14ac:dyDescent="0.3">
      <c r="A59" t="s">
        <v>66</v>
      </c>
      <c r="B59" t="s">
        <v>159</v>
      </c>
      <c r="D59">
        <v>96949</v>
      </c>
      <c r="E59" s="1">
        <v>42407</v>
      </c>
      <c r="F59">
        <v>3</v>
      </c>
      <c r="H59" t="s">
        <v>207</v>
      </c>
      <c r="I59" t="str">
        <f t="shared" si="1"/>
        <v>EMP1057, Eve Adams</v>
      </c>
      <c r="J59" t="s">
        <v>286</v>
      </c>
      <c r="K59" t="s">
        <v>287</v>
      </c>
      <c r="L59" t="s">
        <v>159</v>
      </c>
      <c r="M59" t="str">
        <f t="shared" si="2"/>
        <v>96949</v>
      </c>
    </row>
    <row r="60" spans="1:13" x14ac:dyDescent="0.3">
      <c r="A60" t="s">
        <v>67</v>
      </c>
      <c r="B60" t="s">
        <v>163</v>
      </c>
      <c r="C60" t="s">
        <v>170</v>
      </c>
      <c r="D60">
        <v>84924</v>
      </c>
      <c r="E60" s="1">
        <v>42414</v>
      </c>
      <c r="F60">
        <v>5</v>
      </c>
      <c r="G60" t="s">
        <v>180</v>
      </c>
      <c r="H60" t="s">
        <v>232</v>
      </c>
      <c r="I60" t="str">
        <f t="shared" si="1"/>
        <v>EMP1058, Sam Wilson</v>
      </c>
      <c r="J60" t="s">
        <v>294</v>
      </c>
      <c r="K60" t="s">
        <v>295</v>
      </c>
      <c r="L60" t="s">
        <v>163</v>
      </c>
      <c r="M60" t="str">
        <f t="shared" si="2"/>
        <v>84924</v>
      </c>
    </row>
    <row r="61" spans="1:13" x14ac:dyDescent="0.3">
      <c r="A61" t="s">
        <v>68</v>
      </c>
      <c r="B61" t="s">
        <v>163</v>
      </c>
      <c r="C61" t="s">
        <v>166</v>
      </c>
      <c r="D61">
        <v>82033</v>
      </c>
      <c r="E61" s="1">
        <v>42421</v>
      </c>
      <c r="F61">
        <v>1</v>
      </c>
      <c r="H61" t="s">
        <v>223</v>
      </c>
      <c r="I61" t="str">
        <f t="shared" si="1"/>
        <v>EMP1059, Sam Wilson</v>
      </c>
      <c r="J61" t="s">
        <v>294</v>
      </c>
      <c r="K61" t="s">
        <v>295</v>
      </c>
      <c r="L61" t="s">
        <v>163</v>
      </c>
      <c r="M61" t="str">
        <f t="shared" si="2"/>
        <v>82033</v>
      </c>
    </row>
    <row r="62" spans="1:13" x14ac:dyDescent="0.3">
      <c r="A62" t="s">
        <v>69</v>
      </c>
      <c r="B62" t="s">
        <v>171</v>
      </c>
      <c r="C62" t="s">
        <v>170</v>
      </c>
      <c r="D62" t="s">
        <v>177</v>
      </c>
      <c r="F62">
        <v>5</v>
      </c>
      <c r="G62" t="s">
        <v>178</v>
      </c>
      <c r="H62" t="s">
        <v>233</v>
      </c>
      <c r="I62" t="str">
        <f t="shared" si="1"/>
        <v xml:space="preserve">EMP1060,  </v>
      </c>
      <c r="M62" t="str">
        <f t="shared" si="2"/>
        <v>N/A</v>
      </c>
    </row>
    <row r="63" spans="1:13" x14ac:dyDescent="0.3">
      <c r="A63" t="s">
        <v>70</v>
      </c>
      <c r="B63" t="s">
        <v>159</v>
      </c>
      <c r="D63">
        <v>31499</v>
      </c>
      <c r="E63" s="1">
        <v>42435</v>
      </c>
      <c r="F63">
        <v>2</v>
      </c>
      <c r="H63" t="s">
        <v>215</v>
      </c>
      <c r="I63" t="str">
        <f t="shared" si="1"/>
        <v>EMP1061, Eve Adams</v>
      </c>
      <c r="J63" t="s">
        <v>286</v>
      </c>
      <c r="K63" t="s">
        <v>287</v>
      </c>
      <c r="L63" t="s">
        <v>159</v>
      </c>
      <c r="M63" t="str">
        <f t="shared" si="2"/>
        <v>31499</v>
      </c>
    </row>
    <row r="64" spans="1:13" x14ac:dyDescent="0.3">
      <c r="A64" t="s">
        <v>71</v>
      </c>
      <c r="B64" t="s">
        <v>164</v>
      </c>
      <c r="C64" t="s">
        <v>169</v>
      </c>
      <c r="D64">
        <v>97981</v>
      </c>
      <c r="E64" s="1">
        <v>42442</v>
      </c>
      <c r="F64">
        <v>5</v>
      </c>
      <c r="G64" t="s">
        <v>181</v>
      </c>
      <c r="H64" t="s">
        <v>234</v>
      </c>
      <c r="I64" t="str">
        <f t="shared" si="1"/>
        <v>EMP1062, Chris Lee</v>
      </c>
      <c r="J64" t="s">
        <v>296</v>
      </c>
      <c r="K64" t="s">
        <v>297</v>
      </c>
      <c r="L64" t="s">
        <v>164</v>
      </c>
      <c r="M64" t="str">
        <f t="shared" si="2"/>
        <v>97981</v>
      </c>
    </row>
    <row r="65" spans="1:13" x14ac:dyDescent="0.3">
      <c r="A65" t="s">
        <v>72</v>
      </c>
      <c r="B65" t="s">
        <v>159</v>
      </c>
      <c r="C65" t="s">
        <v>167</v>
      </c>
      <c r="D65">
        <v>36541</v>
      </c>
      <c r="E65" s="1">
        <v>42449</v>
      </c>
      <c r="F65">
        <v>2</v>
      </c>
      <c r="G65" t="s">
        <v>179</v>
      </c>
      <c r="H65" t="s">
        <v>235</v>
      </c>
      <c r="I65" t="str">
        <f t="shared" si="1"/>
        <v>EMP1063, Eve Adams</v>
      </c>
      <c r="J65" t="s">
        <v>286</v>
      </c>
      <c r="K65" t="s">
        <v>287</v>
      </c>
      <c r="L65" t="s">
        <v>159</v>
      </c>
      <c r="M65" t="str">
        <f t="shared" si="2"/>
        <v>36541</v>
      </c>
    </row>
    <row r="66" spans="1:13" x14ac:dyDescent="0.3">
      <c r="A66" t="s">
        <v>73</v>
      </c>
      <c r="B66" t="s">
        <v>161</v>
      </c>
      <c r="C66" t="s">
        <v>169</v>
      </c>
      <c r="D66">
        <v>84737</v>
      </c>
      <c r="E66" s="1">
        <v>42456</v>
      </c>
      <c r="F66">
        <v>1</v>
      </c>
      <c r="G66" t="s">
        <v>180</v>
      </c>
      <c r="H66" t="s">
        <v>236</v>
      </c>
      <c r="I66" t="str">
        <f t="shared" si="1"/>
        <v>EMP1064, John Doe</v>
      </c>
      <c r="J66" t="s">
        <v>290</v>
      </c>
      <c r="K66" t="s">
        <v>291</v>
      </c>
      <c r="L66" t="s">
        <v>161</v>
      </c>
      <c r="M66" t="str">
        <f t="shared" ref="M66:M97" si="3">TRIM(D66)</f>
        <v>84737</v>
      </c>
    </row>
    <row r="67" spans="1:13" x14ac:dyDescent="0.3">
      <c r="A67" t="s">
        <v>74</v>
      </c>
      <c r="B67" t="s">
        <v>163</v>
      </c>
      <c r="C67" t="s">
        <v>166</v>
      </c>
      <c r="D67">
        <v>33468</v>
      </c>
      <c r="E67" s="1">
        <v>42463</v>
      </c>
      <c r="F67">
        <v>4</v>
      </c>
      <c r="G67" t="s">
        <v>180</v>
      </c>
      <c r="H67" t="s">
        <v>237</v>
      </c>
      <c r="I67" t="str">
        <f t="shared" si="1"/>
        <v>EMP1065, Sam Wilson</v>
      </c>
      <c r="J67" t="s">
        <v>294</v>
      </c>
      <c r="K67" t="s">
        <v>295</v>
      </c>
      <c r="L67" t="s">
        <v>163</v>
      </c>
      <c r="M67" t="str">
        <f t="shared" si="3"/>
        <v>33468</v>
      </c>
    </row>
    <row r="68" spans="1:13" x14ac:dyDescent="0.3">
      <c r="A68" t="s">
        <v>75</v>
      </c>
      <c r="B68" t="s">
        <v>163</v>
      </c>
      <c r="D68">
        <v>96365</v>
      </c>
      <c r="E68" s="1">
        <v>42470</v>
      </c>
      <c r="F68">
        <v>3</v>
      </c>
      <c r="G68" t="s">
        <v>179</v>
      </c>
      <c r="H68" t="s">
        <v>238</v>
      </c>
      <c r="I68" t="str">
        <f t="shared" ref="I68:I131" si="4">_xlfn.CONCAT(A68, ", ",B68)</f>
        <v>EMP1066, Sam Wilson</v>
      </c>
      <c r="J68" t="s">
        <v>294</v>
      </c>
      <c r="K68" t="s">
        <v>295</v>
      </c>
      <c r="L68" t="s">
        <v>163</v>
      </c>
      <c r="M68" t="str">
        <f t="shared" si="3"/>
        <v>96365</v>
      </c>
    </row>
    <row r="69" spans="1:13" x14ac:dyDescent="0.3">
      <c r="A69" t="s">
        <v>76</v>
      </c>
      <c r="B69" t="s">
        <v>160</v>
      </c>
      <c r="C69" t="s">
        <v>168</v>
      </c>
      <c r="D69">
        <v>61942</v>
      </c>
      <c r="E69" s="1">
        <v>42477</v>
      </c>
      <c r="F69">
        <v>3</v>
      </c>
      <c r="G69" t="s">
        <v>181</v>
      </c>
      <c r="H69" t="s">
        <v>239</v>
      </c>
      <c r="I69" t="str">
        <f t="shared" si="4"/>
        <v>EMP1067, Alice Brown</v>
      </c>
      <c r="J69" t="s">
        <v>288</v>
      </c>
      <c r="K69" t="s">
        <v>289</v>
      </c>
      <c r="L69" t="s">
        <v>160</v>
      </c>
      <c r="M69" t="str">
        <f t="shared" si="3"/>
        <v>61942</v>
      </c>
    </row>
    <row r="70" spans="1:13" x14ac:dyDescent="0.3">
      <c r="A70" t="s">
        <v>77</v>
      </c>
      <c r="B70" t="s">
        <v>163</v>
      </c>
      <c r="C70" t="s">
        <v>166</v>
      </c>
      <c r="D70">
        <v>41467</v>
      </c>
      <c r="E70" s="1">
        <v>42484</v>
      </c>
      <c r="F70">
        <v>2</v>
      </c>
      <c r="H70" t="s">
        <v>201</v>
      </c>
      <c r="I70" t="str">
        <f t="shared" si="4"/>
        <v>EMP1068, Sam Wilson</v>
      </c>
      <c r="J70" t="s">
        <v>294</v>
      </c>
      <c r="K70" t="s">
        <v>295</v>
      </c>
      <c r="L70" t="s">
        <v>163</v>
      </c>
      <c r="M70" t="str">
        <f t="shared" si="3"/>
        <v>41467</v>
      </c>
    </row>
    <row r="71" spans="1:13" x14ac:dyDescent="0.3">
      <c r="A71" t="s">
        <v>78</v>
      </c>
      <c r="B71" t="s">
        <v>165</v>
      </c>
      <c r="C71" t="s">
        <v>166</v>
      </c>
      <c r="D71">
        <v>77096</v>
      </c>
      <c r="E71" s="1">
        <v>42491</v>
      </c>
      <c r="F71">
        <v>1</v>
      </c>
      <c r="H71" t="s">
        <v>240</v>
      </c>
      <c r="I71" t="str">
        <f t="shared" si="4"/>
        <v>EMP1069, Bob Johnson</v>
      </c>
      <c r="J71" t="s">
        <v>298</v>
      </c>
      <c r="K71" t="s">
        <v>299</v>
      </c>
      <c r="L71" t="s">
        <v>165</v>
      </c>
      <c r="M71" t="str">
        <f t="shared" si="3"/>
        <v>77096</v>
      </c>
    </row>
    <row r="72" spans="1:13" x14ac:dyDescent="0.3">
      <c r="A72" t="s">
        <v>79</v>
      </c>
      <c r="B72" t="s">
        <v>159</v>
      </c>
      <c r="C72" t="s">
        <v>168</v>
      </c>
      <c r="D72">
        <v>69952</v>
      </c>
      <c r="E72" s="1">
        <v>42498</v>
      </c>
      <c r="F72">
        <v>5</v>
      </c>
      <c r="G72" t="s">
        <v>181</v>
      </c>
      <c r="H72" t="s">
        <v>182</v>
      </c>
      <c r="I72" t="str">
        <f t="shared" si="4"/>
        <v>EMP1070, Eve Adams</v>
      </c>
      <c r="J72" t="s">
        <v>286</v>
      </c>
      <c r="K72" t="s">
        <v>287</v>
      </c>
      <c r="L72" t="s">
        <v>159</v>
      </c>
      <c r="M72" t="str">
        <f t="shared" si="3"/>
        <v>69952</v>
      </c>
    </row>
    <row r="73" spans="1:13" x14ac:dyDescent="0.3">
      <c r="A73" t="s">
        <v>80</v>
      </c>
      <c r="B73" t="s">
        <v>159</v>
      </c>
      <c r="C73" t="s">
        <v>170</v>
      </c>
      <c r="D73">
        <v>85065</v>
      </c>
      <c r="E73" s="1">
        <v>42505</v>
      </c>
      <c r="F73">
        <v>3</v>
      </c>
      <c r="H73" t="s">
        <v>241</v>
      </c>
      <c r="I73" t="str">
        <f t="shared" si="4"/>
        <v>EMP1071, Eve Adams</v>
      </c>
      <c r="J73" t="s">
        <v>286</v>
      </c>
      <c r="K73" t="s">
        <v>287</v>
      </c>
      <c r="L73" t="s">
        <v>159</v>
      </c>
      <c r="M73" t="str">
        <f t="shared" si="3"/>
        <v>85065</v>
      </c>
    </row>
    <row r="74" spans="1:13" x14ac:dyDescent="0.3">
      <c r="A74" t="s">
        <v>81</v>
      </c>
      <c r="B74" t="s">
        <v>165</v>
      </c>
      <c r="C74" t="s">
        <v>170</v>
      </c>
      <c r="D74">
        <v>56512</v>
      </c>
      <c r="E74" s="1">
        <v>42512</v>
      </c>
      <c r="G74" t="s">
        <v>179</v>
      </c>
      <c r="H74" t="s">
        <v>190</v>
      </c>
      <c r="I74" t="str">
        <f t="shared" si="4"/>
        <v>EMP1072, Bob Johnson</v>
      </c>
      <c r="J74" t="s">
        <v>298</v>
      </c>
      <c r="K74" t="s">
        <v>299</v>
      </c>
      <c r="L74" t="s">
        <v>165</v>
      </c>
      <c r="M74" t="str">
        <f t="shared" si="3"/>
        <v>56512</v>
      </c>
    </row>
    <row r="75" spans="1:13" x14ac:dyDescent="0.3">
      <c r="A75" t="s">
        <v>82</v>
      </c>
      <c r="B75" t="s">
        <v>161</v>
      </c>
      <c r="C75" t="s">
        <v>168</v>
      </c>
      <c r="D75">
        <v>91101</v>
      </c>
      <c r="E75" s="1">
        <v>42519</v>
      </c>
      <c r="F75">
        <v>4</v>
      </c>
      <c r="G75" t="s">
        <v>181</v>
      </c>
      <c r="H75" t="s">
        <v>234</v>
      </c>
      <c r="I75" t="str">
        <f t="shared" si="4"/>
        <v>EMP1073, John Doe</v>
      </c>
      <c r="J75" t="s">
        <v>290</v>
      </c>
      <c r="K75" t="s">
        <v>291</v>
      </c>
      <c r="L75" t="s">
        <v>161</v>
      </c>
      <c r="M75" t="str">
        <f t="shared" si="3"/>
        <v>91101</v>
      </c>
    </row>
    <row r="76" spans="1:13" x14ac:dyDescent="0.3">
      <c r="A76" t="s">
        <v>83</v>
      </c>
      <c r="B76" t="s">
        <v>163</v>
      </c>
      <c r="D76">
        <v>41243</v>
      </c>
      <c r="E76" s="1">
        <v>42526</v>
      </c>
      <c r="H76" t="s">
        <v>211</v>
      </c>
      <c r="I76" t="str">
        <f t="shared" si="4"/>
        <v>EMP1074, Sam Wilson</v>
      </c>
      <c r="J76" t="s">
        <v>294</v>
      </c>
      <c r="K76" t="s">
        <v>295</v>
      </c>
      <c r="L76" t="s">
        <v>163</v>
      </c>
      <c r="M76" t="str">
        <f t="shared" si="3"/>
        <v>41243</v>
      </c>
    </row>
    <row r="77" spans="1:13" x14ac:dyDescent="0.3">
      <c r="A77" t="s">
        <v>84</v>
      </c>
      <c r="B77" t="s">
        <v>171</v>
      </c>
      <c r="C77" t="s">
        <v>168</v>
      </c>
      <c r="D77">
        <v>96142</v>
      </c>
      <c r="E77" s="1">
        <v>42533</v>
      </c>
      <c r="F77">
        <v>1</v>
      </c>
      <c r="G77" t="s">
        <v>179</v>
      </c>
      <c r="H77" t="s">
        <v>242</v>
      </c>
      <c r="I77" t="str">
        <f t="shared" si="4"/>
        <v xml:space="preserve">EMP1075,  </v>
      </c>
      <c r="M77" t="str">
        <f t="shared" si="3"/>
        <v>96142</v>
      </c>
    </row>
    <row r="78" spans="1:13" x14ac:dyDescent="0.3">
      <c r="A78" t="s">
        <v>85</v>
      </c>
      <c r="B78" t="s">
        <v>159</v>
      </c>
      <c r="C78" t="s">
        <v>169</v>
      </c>
      <c r="D78">
        <v>94301</v>
      </c>
      <c r="E78" s="1">
        <v>42540</v>
      </c>
      <c r="F78">
        <v>1</v>
      </c>
      <c r="G78" t="s">
        <v>180</v>
      </c>
      <c r="H78" t="s">
        <v>223</v>
      </c>
      <c r="I78" t="str">
        <f t="shared" si="4"/>
        <v>EMP1076, Eve Adams</v>
      </c>
      <c r="J78" t="s">
        <v>286</v>
      </c>
      <c r="K78" t="s">
        <v>287</v>
      </c>
      <c r="L78" t="s">
        <v>159</v>
      </c>
      <c r="M78" t="str">
        <f t="shared" si="3"/>
        <v>94301</v>
      </c>
    </row>
    <row r="79" spans="1:13" x14ac:dyDescent="0.3">
      <c r="A79" t="s">
        <v>86</v>
      </c>
      <c r="B79" t="s">
        <v>162</v>
      </c>
      <c r="D79">
        <v>69166</v>
      </c>
      <c r="E79" s="1">
        <v>42547</v>
      </c>
      <c r="F79">
        <v>1</v>
      </c>
      <c r="G79" t="s">
        <v>181</v>
      </c>
      <c r="H79" t="s">
        <v>243</v>
      </c>
      <c r="I79" t="str">
        <f t="shared" si="4"/>
        <v>EMP1077, Jane Smith</v>
      </c>
      <c r="J79" t="s">
        <v>292</v>
      </c>
      <c r="K79" t="s">
        <v>293</v>
      </c>
      <c r="L79" t="s">
        <v>162</v>
      </c>
      <c r="M79" t="str">
        <f t="shared" si="3"/>
        <v>69166</v>
      </c>
    </row>
    <row r="80" spans="1:13" x14ac:dyDescent="0.3">
      <c r="A80" t="s">
        <v>87</v>
      </c>
      <c r="B80" t="s">
        <v>163</v>
      </c>
      <c r="D80">
        <v>78245</v>
      </c>
      <c r="E80" s="1">
        <v>42554</v>
      </c>
      <c r="F80">
        <v>2</v>
      </c>
      <c r="H80" t="s">
        <v>244</v>
      </c>
      <c r="I80" t="str">
        <f t="shared" si="4"/>
        <v>EMP1078, Sam Wilson</v>
      </c>
      <c r="J80" t="s">
        <v>294</v>
      </c>
      <c r="K80" t="s">
        <v>295</v>
      </c>
      <c r="L80" t="s">
        <v>163</v>
      </c>
      <c r="M80" t="str">
        <f t="shared" si="3"/>
        <v>78245</v>
      </c>
    </row>
    <row r="81" spans="1:13" x14ac:dyDescent="0.3">
      <c r="A81" t="s">
        <v>88</v>
      </c>
      <c r="B81" t="s">
        <v>164</v>
      </c>
      <c r="C81" t="s">
        <v>168</v>
      </c>
      <c r="D81">
        <v>66079</v>
      </c>
      <c r="E81" s="1">
        <v>42561</v>
      </c>
      <c r="F81">
        <v>2</v>
      </c>
      <c r="G81" t="s">
        <v>179</v>
      </c>
      <c r="H81" t="s">
        <v>245</v>
      </c>
      <c r="I81" t="str">
        <f t="shared" si="4"/>
        <v>EMP1079, Chris Lee</v>
      </c>
      <c r="J81" t="s">
        <v>296</v>
      </c>
      <c r="K81" t="s">
        <v>297</v>
      </c>
      <c r="L81" t="s">
        <v>164</v>
      </c>
      <c r="M81" t="str">
        <f t="shared" si="3"/>
        <v>66079</v>
      </c>
    </row>
    <row r="82" spans="1:13" x14ac:dyDescent="0.3">
      <c r="A82" t="s">
        <v>89</v>
      </c>
      <c r="B82" t="s">
        <v>159</v>
      </c>
      <c r="C82" t="s">
        <v>170</v>
      </c>
      <c r="D82" t="s">
        <v>177</v>
      </c>
      <c r="H82" t="s">
        <v>208</v>
      </c>
      <c r="I82" t="str">
        <f t="shared" si="4"/>
        <v>EMP1080, Eve Adams</v>
      </c>
      <c r="J82" t="s">
        <v>286</v>
      </c>
      <c r="K82" t="s">
        <v>287</v>
      </c>
      <c r="L82" t="s">
        <v>159</v>
      </c>
      <c r="M82" t="str">
        <f t="shared" si="3"/>
        <v>N/A</v>
      </c>
    </row>
    <row r="83" spans="1:13" x14ac:dyDescent="0.3">
      <c r="A83" t="s">
        <v>90</v>
      </c>
      <c r="B83" t="s">
        <v>162</v>
      </c>
      <c r="C83" t="s">
        <v>168</v>
      </c>
      <c r="D83">
        <v>95621</v>
      </c>
      <c r="E83" s="1">
        <v>42575</v>
      </c>
      <c r="F83">
        <v>3</v>
      </c>
      <c r="G83" t="s">
        <v>181</v>
      </c>
      <c r="H83" t="s">
        <v>246</v>
      </c>
      <c r="I83" t="str">
        <f t="shared" si="4"/>
        <v>EMP1081, Jane Smith</v>
      </c>
      <c r="J83" t="s">
        <v>292</v>
      </c>
      <c r="K83" t="s">
        <v>293</v>
      </c>
      <c r="L83" t="s">
        <v>162</v>
      </c>
      <c r="M83" t="str">
        <f t="shared" si="3"/>
        <v>95621</v>
      </c>
    </row>
    <row r="84" spans="1:13" x14ac:dyDescent="0.3">
      <c r="A84" t="s">
        <v>91</v>
      </c>
      <c r="B84" t="s">
        <v>159</v>
      </c>
      <c r="C84" t="s">
        <v>169</v>
      </c>
      <c r="D84">
        <v>42262</v>
      </c>
      <c r="E84" s="1">
        <v>42582</v>
      </c>
      <c r="F84">
        <v>1</v>
      </c>
      <c r="H84" t="s">
        <v>247</v>
      </c>
      <c r="I84" t="str">
        <f t="shared" si="4"/>
        <v>EMP1082, Eve Adams</v>
      </c>
      <c r="J84" t="s">
        <v>286</v>
      </c>
      <c r="K84" t="s">
        <v>287</v>
      </c>
      <c r="L84" t="s">
        <v>159</v>
      </c>
      <c r="M84" t="str">
        <f t="shared" si="3"/>
        <v>42262</v>
      </c>
    </row>
    <row r="85" spans="1:13" x14ac:dyDescent="0.3">
      <c r="A85" t="s">
        <v>92</v>
      </c>
      <c r="B85" t="s">
        <v>163</v>
      </c>
      <c r="C85" t="s">
        <v>168</v>
      </c>
      <c r="D85">
        <v>99621</v>
      </c>
      <c r="E85" s="1">
        <v>42589</v>
      </c>
      <c r="G85" t="s">
        <v>179</v>
      </c>
      <c r="H85" t="s">
        <v>248</v>
      </c>
      <c r="I85" t="str">
        <f t="shared" si="4"/>
        <v>EMP1083, Sam Wilson</v>
      </c>
      <c r="J85" t="s">
        <v>294</v>
      </c>
      <c r="K85" t="s">
        <v>295</v>
      </c>
      <c r="L85" t="s">
        <v>163</v>
      </c>
      <c r="M85" t="str">
        <f t="shared" si="3"/>
        <v>99621</v>
      </c>
    </row>
    <row r="86" spans="1:13" x14ac:dyDescent="0.3">
      <c r="A86" t="s">
        <v>93</v>
      </c>
      <c r="B86" t="s">
        <v>161</v>
      </c>
      <c r="C86" t="s">
        <v>170</v>
      </c>
      <c r="D86">
        <v>44682</v>
      </c>
      <c r="E86" s="1">
        <v>42596</v>
      </c>
      <c r="F86">
        <v>4</v>
      </c>
      <c r="G86" t="s">
        <v>181</v>
      </c>
      <c r="H86" t="s">
        <v>220</v>
      </c>
      <c r="I86" t="str">
        <f t="shared" si="4"/>
        <v>EMP1084, John Doe</v>
      </c>
      <c r="J86" t="s">
        <v>290</v>
      </c>
      <c r="K86" t="s">
        <v>291</v>
      </c>
      <c r="L86" t="s">
        <v>161</v>
      </c>
      <c r="M86" t="str">
        <f t="shared" si="3"/>
        <v>44682</v>
      </c>
    </row>
    <row r="87" spans="1:13" x14ac:dyDescent="0.3">
      <c r="A87" t="s">
        <v>94</v>
      </c>
      <c r="B87" t="s">
        <v>164</v>
      </c>
      <c r="C87" t="s">
        <v>166</v>
      </c>
      <c r="D87">
        <v>35163</v>
      </c>
      <c r="E87" s="1">
        <v>42603</v>
      </c>
      <c r="F87">
        <v>5</v>
      </c>
      <c r="G87" t="s">
        <v>179</v>
      </c>
      <c r="H87" t="s">
        <v>249</v>
      </c>
      <c r="I87" t="str">
        <f t="shared" si="4"/>
        <v>EMP1085, Chris Lee</v>
      </c>
      <c r="J87" t="s">
        <v>296</v>
      </c>
      <c r="K87" t="s">
        <v>297</v>
      </c>
      <c r="L87" t="s">
        <v>164</v>
      </c>
      <c r="M87" t="str">
        <f t="shared" si="3"/>
        <v>35163</v>
      </c>
    </row>
    <row r="88" spans="1:13" x14ac:dyDescent="0.3">
      <c r="A88" t="s">
        <v>95</v>
      </c>
      <c r="B88" t="s">
        <v>164</v>
      </c>
      <c r="C88" t="s">
        <v>169</v>
      </c>
      <c r="D88">
        <v>33483</v>
      </c>
      <c r="E88" s="1">
        <v>42610</v>
      </c>
      <c r="F88">
        <v>4</v>
      </c>
      <c r="G88" t="s">
        <v>180</v>
      </c>
      <c r="H88" t="s">
        <v>250</v>
      </c>
      <c r="I88" t="str">
        <f t="shared" si="4"/>
        <v>EMP1086, Chris Lee</v>
      </c>
      <c r="J88" t="s">
        <v>296</v>
      </c>
      <c r="K88" t="s">
        <v>297</v>
      </c>
      <c r="L88" t="s">
        <v>164</v>
      </c>
      <c r="M88" t="str">
        <f t="shared" si="3"/>
        <v>33483</v>
      </c>
    </row>
    <row r="89" spans="1:13" x14ac:dyDescent="0.3">
      <c r="A89" t="s">
        <v>96</v>
      </c>
      <c r="B89" t="s">
        <v>163</v>
      </c>
      <c r="C89" t="s">
        <v>167</v>
      </c>
      <c r="D89">
        <v>55303</v>
      </c>
      <c r="E89" s="1">
        <v>42617</v>
      </c>
      <c r="F89">
        <v>4</v>
      </c>
      <c r="G89" t="s">
        <v>180</v>
      </c>
      <c r="H89" t="s">
        <v>203</v>
      </c>
      <c r="I89" t="str">
        <f t="shared" si="4"/>
        <v>EMP1087, Sam Wilson</v>
      </c>
      <c r="J89" t="s">
        <v>294</v>
      </c>
      <c r="K89" t="s">
        <v>295</v>
      </c>
      <c r="L89" t="s">
        <v>163</v>
      </c>
      <c r="M89" t="str">
        <f t="shared" si="3"/>
        <v>55303</v>
      </c>
    </row>
    <row r="90" spans="1:13" x14ac:dyDescent="0.3">
      <c r="A90" t="s">
        <v>97</v>
      </c>
      <c r="B90" t="s">
        <v>164</v>
      </c>
      <c r="C90" t="s">
        <v>169</v>
      </c>
      <c r="D90">
        <v>63434</v>
      </c>
      <c r="E90" s="1">
        <v>42624</v>
      </c>
      <c r="F90">
        <v>3</v>
      </c>
      <c r="H90" t="s">
        <v>251</v>
      </c>
      <c r="I90" t="str">
        <f t="shared" si="4"/>
        <v>EMP1088, Chris Lee</v>
      </c>
      <c r="J90" t="s">
        <v>296</v>
      </c>
      <c r="K90" t="s">
        <v>297</v>
      </c>
      <c r="L90" t="s">
        <v>164</v>
      </c>
      <c r="M90" t="str">
        <f t="shared" si="3"/>
        <v>63434</v>
      </c>
    </row>
    <row r="91" spans="1:13" x14ac:dyDescent="0.3">
      <c r="A91" t="s">
        <v>98</v>
      </c>
      <c r="B91" t="s">
        <v>162</v>
      </c>
      <c r="D91">
        <v>38830</v>
      </c>
      <c r="E91" s="1">
        <v>42631</v>
      </c>
      <c r="F91">
        <v>3</v>
      </c>
      <c r="G91" t="s">
        <v>179</v>
      </c>
      <c r="H91" t="s">
        <v>203</v>
      </c>
      <c r="I91" t="str">
        <f t="shared" si="4"/>
        <v>EMP1089, Jane Smith</v>
      </c>
      <c r="J91" t="s">
        <v>292</v>
      </c>
      <c r="K91" t="s">
        <v>293</v>
      </c>
      <c r="L91" t="s">
        <v>162</v>
      </c>
      <c r="M91" t="str">
        <f t="shared" si="3"/>
        <v>38830</v>
      </c>
    </row>
    <row r="92" spans="1:13" x14ac:dyDescent="0.3">
      <c r="A92" t="s">
        <v>99</v>
      </c>
      <c r="B92" t="s">
        <v>171</v>
      </c>
      <c r="C92" t="s">
        <v>170</v>
      </c>
      <c r="D92">
        <v>50741</v>
      </c>
      <c r="E92" s="1">
        <v>42638</v>
      </c>
      <c r="F92">
        <v>3</v>
      </c>
      <c r="G92" t="s">
        <v>178</v>
      </c>
      <c r="H92" t="s">
        <v>240</v>
      </c>
      <c r="I92" t="str">
        <f t="shared" si="4"/>
        <v xml:space="preserve">EMP1090,  </v>
      </c>
      <c r="M92" t="str">
        <f t="shared" si="3"/>
        <v>50741</v>
      </c>
    </row>
    <row r="93" spans="1:13" x14ac:dyDescent="0.3">
      <c r="A93" t="s">
        <v>100</v>
      </c>
      <c r="B93" t="s">
        <v>160</v>
      </c>
      <c r="C93" t="s">
        <v>167</v>
      </c>
      <c r="D93">
        <v>69420</v>
      </c>
      <c r="E93" s="1">
        <v>42645</v>
      </c>
      <c r="F93">
        <v>1</v>
      </c>
      <c r="G93" t="s">
        <v>180</v>
      </c>
      <c r="H93" t="s">
        <v>225</v>
      </c>
      <c r="I93" t="str">
        <f t="shared" si="4"/>
        <v>EMP1091, Alice Brown</v>
      </c>
      <c r="J93" t="s">
        <v>288</v>
      </c>
      <c r="K93" t="s">
        <v>289</v>
      </c>
      <c r="L93" t="s">
        <v>160</v>
      </c>
      <c r="M93" t="str">
        <f t="shared" si="3"/>
        <v>69420</v>
      </c>
    </row>
    <row r="94" spans="1:13" x14ac:dyDescent="0.3">
      <c r="A94" t="s">
        <v>101</v>
      </c>
      <c r="B94" t="s">
        <v>162</v>
      </c>
      <c r="C94" t="s">
        <v>169</v>
      </c>
      <c r="D94">
        <v>80588</v>
      </c>
      <c r="E94" s="1">
        <v>42652</v>
      </c>
      <c r="F94">
        <v>5</v>
      </c>
      <c r="G94" t="s">
        <v>180</v>
      </c>
      <c r="H94" t="s">
        <v>216</v>
      </c>
      <c r="I94" t="str">
        <f t="shared" si="4"/>
        <v>EMP1092, Jane Smith</v>
      </c>
      <c r="J94" t="s">
        <v>292</v>
      </c>
      <c r="K94" t="s">
        <v>293</v>
      </c>
      <c r="L94" t="s">
        <v>162</v>
      </c>
      <c r="M94" t="str">
        <f t="shared" si="3"/>
        <v>80588</v>
      </c>
    </row>
    <row r="95" spans="1:13" x14ac:dyDescent="0.3">
      <c r="A95" t="s">
        <v>102</v>
      </c>
      <c r="B95" t="s">
        <v>160</v>
      </c>
      <c r="D95">
        <v>76238</v>
      </c>
      <c r="E95" s="1">
        <v>42659</v>
      </c>
      <c r="F95">
        <v>4</v>
      </c>
      <c r="G95" t="s">
        <v>180</v>
      </c>
      <c r="H95" t="s">
        <v>252</v>
      </c>
      <c r="I95" t="str">
        <f t="shared" si="4"/>
        <v>EMP1093, Alice Brown</v>
      </c>
      <c r="J95" t="s">
        <v>288</v>
      </c>
      <c r="K95" t="s">
        <v>289</v>
      </c>
      <c r="L95" t="s">
        <v>160</v>
      </c>
      <c r="M95" t="str">
        <f t="shared" si="3"/>
        <v>76238</v>
      </c>
    </row>
    <row r="96" spans="1:13" x14ac:dyDescent="0.3">
      <c r="A96" t="s">
        <v>103</v>
      </c>
      <c r="B96" t="s">
        <v>165</v>
      </c>
      <c r="C96" t="s">
        <v>169</v>
      </c>
      <c r="D96">
        <v>33264</v>
      </c>
      <c r="E96" s="1">
        <v>42666</v>
      </c>
      <c r="G96" t="s">
        <v>181</v>
      </c>
      <c r="H96" t="s">
        <v>253</v>
      </c>
      <c r="I96" t="str">
        <f t="shared" si="4"/>
        <v>EMP1094, Bob Johnson</v>
      </c>
      <c r="J96" t="s">
        <v>298</v>
      </c>
      <c r="K96" t="s">
        <v>299</v>
      </c>
      <c r="L96" t="s">
        <v>165</v>
      </c>
      <c r="M96" t="str">
        <f t="shared" si="3"/>
        <v>33264</v>
      </c>
    </row>
    <row r="97" spans="1:13" x14ac:dyDescent="0.3">
      <c r="A97" t="s">
        <v>104</v>
      </c>
      <c r="B97" t="s">
        <v>160</v>
      </c>
      <c r="C97" t="s">
        <v>166</v>
      </c>
      <c r="D97">
        <v>96101</v>
      </c>
      <c r="E97" s="1">
        <v>42673</v>
      </c>
      <c r="G97" t="s">
        <v>179</v>
      </c>
      <c r="H97" t="s">
        <v>254</v>
      </c>
      <c r="I97" t="str">
        <f t="shared" si="4"/>
        <v>EMP1095, Alice Brown</v>
      </c>
      <c r="J97" t="s">
        <v>288</v>
      </c>
      <c r="K97" t="s">
        <v>289</v>
      </c>
      <c r="L97" t="s">
        <v>160</v>
      </c>
      <c r="M97" t="str">
        <f t="shared" si="3"/>
        <v>96101</v>
      </c>
    </row>
    <row r="98" spans="1:13" x14ac:dyDescent="0.3">
      <c r="A98" t="s">
        <v>105</v>
      </c>
      <c r="B98" t="s">
        <v>162</v>
      </c>
      <c r="C98" t="s">
        <v>166</v>
      </c>
      <c r="D98">
        <v>72939</v>
      </c>
      <c r="E98" s="1">
        <v>42680</v>
      </c>
      <c r="F98">
        <v>3</v>
      </c>
      <c r="H98" t="s">
        <v>255</v>
      </c>
      <c r="I98" t="str">
        <f t="shared" si="4"/>
        <v>EMP1096, Jane Smith</v>
      </c>
      <c r="J98" t="s">
        <v>292</v>
      </c>
      <c r="K98" t="s">
        <v>293</v>
      </c>
      <c r="L98" t="s">
        <v>162</v>
      </c>
      <c r="M98" t="str">
        <f t="shared" ref="M98:M129" si="5">TRIM(D98)</f>
        <v>72939</v>
      </c>
    </row>
    <row r="99" spans="1:13" x14ac:dyDescent="0.3">
      <c r="A99" t="s">
        <v>106</v>
      </c>
      <c r="B99" t="s">
        <v>163</v>
      </c>
      <c r="C99" t="s">
        <v>167</v>
      </c>
      <c r="D99">
        <v>89333</v>
      </c>
      <c r="E99" s="1">
        <v>42687</v>
      </c>
      <c r="F99">
        <v>1</v>
      </c>
      <c r="G99" t="s">
        <v>180</v>
      </c>
      <c r="H99" t="s">
        <v>256</v>
      </c>
      <c r="I99" t="str">
        <f t="shared" si="4"/>
        <v>EMP1097, Sam Wilson</v>
      </c>
      <c r="J99" t="s">
        <v>294</v>
      </c>
      <c r="K99" t="s">
        <v>295</v>
      </c>
      <c r="L99" t="s">
        <v>163</v>
      </c>
      <c r="M99" t="str">
        <f t="shared" si="5"/>
        <v>89333</v>
      </c>
    </row>
    <row r="100" spans="1:13" x14ac:dyDescent="0.3">
      <c r="A100" t="s">
        <v>107</v>
      </c>
      <c r="B100" t="s">
        <v>165</v>
      </c>
      <c r="C100" t="s">
        <v>169</v>
      </c>
      <c r="D100">
        <v>70470</v>
      </c>
      <c r="E100" s="1">
        <v>42694</v>
      </c>
      <c r="G100" t="s">
        <v>180</v>
      </c>
      <c r="H100" t="s">
        <v>257</v>
      </c>
      <c r="I100" t="str">
        <f t="shared" si="4"/>
        <v>EMP1098, Bob Johnson</v>
      </c>
      <c r="J100" t="s">
        <v>298</v>
      </c>
      <c r="K100" t="s">
        <v>299</v>
      </c>
      <c r="L100" t="s">
        <v>165</v>
      </c>
      <c r="M100" t="str">
        <f t="shared" si="5"/>
        <v>70470</v>
      </c>
    </row>
    <row r="101" spans="1:13" x14ac:dyDescent="0.3">
      <c r="A101" t="s">
        <v>108</v>
      </c>
      <c r="B101" t="s">
        <v>159</v>
      </c>
      <c r="C101" t="s">
        <v>170</v>
      </c>
      <c r="D101">
        <v>70096</v>
      </c>
      <c r="E101" s="1">
        <v>42701</v>
      </c>
      <c r="F101">
        <v>4</v>
      </c>
      <c r="G101" t="s">
        <v>180</v>
      </c>
      <c r="H101" t="s">
        <v>258</v>
      </c>
      <c r="I101" t="str">
        <f t="shared" si="4"/>
        <v>EMP1099, Eve Adams</v>
      </c>
      <c r="J101" t="s">
        <v>286</v>
      </c>
      <c r="K101" t="s">
        <v>287</v>
      </c>
      <c r="L101" t="s">
        <v>159</v>
      </c>
      <c r="M101" t="str">
        <f t="shared" si="5"/>
        <v>70096</v>
      </c>
    </row>
    <row r="102" spans="1:13" x14ac:dyDescent="0.3">
      <c r="A102" t="s">
        <v>109</v>
      </c>
      <c r="B102" t="s">
        <v>165</v>
      </c>
      <c r="C102" t="s">
        <v>170</v>
      </c>
      <c r="D102" t="s">
        <v>177</v>
      </c>
      <c r="E102" s="1">
        <v>42708</v>
      </c>
      <c r="F102">
        <v>2</v>
      </c>
      <c r="G102" t="s">
        <v>179</v>
      </c>
      <c r="H102" t="s">
        <v>259</v>
      </c>
      <c r="I102" t="str">
        <f t="shared" si="4"/>
        <v>EMP1100, Bob Johnson</v>
      </c>
      <c r="J102" t="s">
        <v>298</v>
      </c>
      <c r="K102" t="s">
        <v>299</v>
      </c>
      <c r="L102" t="s">
        <v>165</v>
      </c>
      <c r="M102" t="str">
        <f t="shared" si="5"/>
        <v>N/A</v>
      </c>
    </row>
    <row r="103" spans="1:13" x14ac:dyDescent="0.3">
      <c r="A103" t="s">
        <v>110</v>
      </c>
      <c r="B103" t="s">
        <v>165</v>
      </c>
      <c r="C103" t="s">
        <v>169</v>
      </c>
      <c r="D103">
        <v>66503</v>
      </c>
      <c r="E103" s="1">
        <v>42715</v>
      </c>
      <c r="G103" t="s">
        <v>180</v>
      </c>
      <c r="H103" t="s">
        <v>200</v>
      </c>
      <c r="I103" t="str">
        <f t="shared" si="4"/>
        <v>EMP1101, Bob Johnson</v>
      </c>
      <c r="J103" t="s">
        <v>298</v>
      </c>
      <c r="K103" t="s">
        <v>299</v>
      </c>
      <c r="L103" t="s">
        <v>165</v>
      </c>
      <c r="M103" t="str">
        <f t="shared" si="5"/>
        <v>66503</v>
      </c>
    </row>
    <row r="104" spans="1:13" x14ac:dyDescent="0.3">
      <c r="A104" t="s">
        <v>111</v>
      </c>
      <c r="B104" t="s">
        <v>160</v>
      </c>
      <c r="C104" t="s">
        <v>167</v>
      </c>
      <c r="D104">
        <v>42096</v>
      </c>
      <c r="E104" s="1">
        <v>42722</v>
      </c>
      <c r="G104" t="s">
        <v>181</v>
      </c>
      <c r="H104" t="s">
        <v>260</v>
      </c>
      <c r="I104" t="str">
        <f t="shared" si="4"/>
        <v>EMP1102, Alice Brown</v>
      </c>
      <c r="J104" t="s">
        <v>288</v>
      </c>
      <c r="K104" t="s">
        <v>289</v>
      </c>
      <c r="L104" t="s">
        <v>160</v>
      </c>
      <c r="M104" t="str">
        <f t="shared" si="5"/>
        <v>42096</v>
      </c>
    </row>
    <row r="105" spans="1:13" x14ac:dyDescent="0.3">
      <c r="A105" t="s">
        <v>112</v>
      </c>
      <c r="B105" t="s">
        <v>160</v>
      </c>
      <c r="C105" t="s">
        <v>170</v>
      </c>
      <c r="D105">
        <v>79145</v>
      </c>
      <c r="E105" s="1">
        <v>42729</v>
      </c>
      <c r="F105">
        <v>5</v>
      </c>
      <c r="G105" t="s">
        <v>179</v>
      </c>
      <c r="H105" t="s">
        <v>223</v>
      </c>
      <c r="I105" t="str">
        <f t="shared" si="4"/>
        <v>EMP1103, Alice Brown</v>
      </c>
      <c r="J105" t="s">
        <v>288</v>
      </c>
      <c r="K105" t="s">
        <v>289</v>
      </c>
      <c r="L105" t="s">
        <v>160</v>
      </c>
      <c r="M105" t="str">
        <f t="shared" si="5"/>
        <v>79145</v>
      </c>
    </row>
    <row r="106" spans="1:13" x14ac:dyDescent="0.3">
      <c r="A106" t="s">
        <v>113</v>
      </c>
      <c r="B106" t="s">
        <v>162</v>
      </c>
      <c r="D106">
        <v>61556</v>
      </c>
      <c r="E106" s="1">
        <v>42736</v>
      </c>
      <c r="F106">
        <v>1</v>
      </c>
      <c r="H106" t="s">
        <v>259</v>
      </c>
      <c r="I106" t="str">
        <f t="shared" si="4"/>
        <v>EMP1104, Jane Smith</v>
      </c>
      <c r="J106" t="s">
        <v>292</v>
      </c>
      <c r="K106" t="s">
        <v>293</v>
      </c>
      <c r="L106" t="s">
        <v>162</v>
      </c>
      <c r="M106" t="str">
        <f t="shared" si="5"/>
        <v>61556</v>
      </c>
    </row>
    <row r="107" spans="1:13" x14ac:dyDescent="0.3">
      <c r="A107" t="s">
        <v>114</v>
      </c>
      <c r="B107" t="s">
        <v>171</v>
      </c>
      <c r="C107" t="s">
        <v>167</v>
      </c>
      <c r="D107">
        <v>87963</v>
      </c>
      <c r="E107" s="1">
        <v>42743</v>
      </c>
      <c r="F107">
        <v>3</v>
      </c>
      <c r="G107" t="s">
        <v>179</v>
      </c>
      <c r="H107" t="s">
        <v>182</v>
      </c>
      <c r="I107" t="str">
        <f t="shared" si="4"/>
        <v xml:space="preserve">EMP1105,  </v>
      </c>
      <c r="M107" t="str">
        <f t="shared" si="5"/>
        <v>87963</v>
      </c>
    </row>
    <row r="108" spans="1:13" x14ac:dyDescent="0.3">
      <c r="A108" t="s">
        <v>115</v>
      </c>
      <c r="B108" t="s">
        <v>159</v>
      </c>
      <c r="C108" t="s">
        <v>169</v>
      </c>
      <c r="D108">
        <v>48325</v>
      </c>
      <c r="E108" s="1">
        <v>42750</v>
      </c>
      <c r="G108" t="s">
        <v>180</v>
      </c>
      <c r="H108" t="s">
        <v>261</v>
      </c>
      <c r="I108" t="str">
        <f t="shared" si="4"/>
        <v>EMP1106, Eve Adams</v>
      </c>
      <c r="J108" t="s">
        <v>286</v>
      </c>
      <c r="K108" t="s">
        <v>287</v>
      </c>
      <c r="L108" t="s">
        <v>159</v>
      </c>
      <c r="M108" t="str">
        <f t="shared" si="5"/>
        <v>48325</v>
      </c>
    </row>
    <row r="109" spans="1:13" x14ac:dyDescent="0.3">
      <c r="A109" t="s">
        <v>116</v>
      </c>
      <c r="B109" t="s">
        <v>163</v>
      </c>
      <c r="C109" t="s">
        <v>170</v>
      </c>
      <c r="D109">
        <v>86412</v>
      </c>
      <c r="E109" s="1">
        <v>42757</v>
      </c>
      <c r="F109">
        <v>2</v>
      </c>
      <c r="G109" t="s">
        <v>181</v>
      </c>
      <c r="H109" t="s">
        <v>202</v>
      </c>
      <c r="I109" t="str">
        <f t="shared" si="4"/>
        <v>EMP1107, Sam Wilson</v>
      </c>
      <c r="J109" t="s">
        <v>294</v>
      </c>
      <c r="K109" t="s">
        <v>295</v>
      </c>
      <c r="L109" t="s">
        <v>163</v>
      </c>
      <c r="M109" t="str">
        <f t="shared" si="5"/>
        <v>86412</v>
      </c>
    </row>
    <row r="110" spans="1:13" x14ac:dyDescent="0.3">
      <c r="A110" t="s">
        <v>117</v>
      </c>
      <c r="B110" t="s">
        <v>163</v>
      </c>
      <c r="C110" t="s">
        <v>167</v>
      </c>
      <c r="D110">
        <v>66761</v>
      </c>
      <c r="E110" s="1">
        <v>42764</v>
      </c>
      <c r="F110">
        <v>1</v>
      </c>
      <c r="H110" t="s">
        <v>262</v>
      </c>
      <c r="I110" t="str">
        <f t="shared" si="4"/>
        <v>EMP1108, Sam Wilson</v>
      </c>
      <c r="J110" t="s">
        <v>294</v>
      </c>
      <c r="K110" t="s">
        <v>295</v>
      </c>
      <c r="L110" t="s">
        <v>163</v>
      </c>
      <c r="M110" t="str">
        <f t="shared" si="5"/>
        <v>66761</v>
      </c>
    </row>
    <row r="111" spans="1:13" x14ac:dyDescent="0.3">
      <c r="A111" t="s">
        <v>118</v>
      </c>
      <c r="B111" t="s">
        <v>162</v>
      </c>
      <c r="D111">
        <v>88850</v>
      </c>
      <c r="E111" s="1">
        <v>42771</v>
      </c>
      <c r="F111">
        <v>1</v>
      </c>
      <c r="G111" t="s">
        <v>181</v>
      </c>
      <c r="H111" t="s">
        <v>263</v>
      </c>
      <c r="I111" t="str">
        <f t="shared" si="4"/>
        <v>EMP1109, Jane Smith</v>
      </c>
      <c r="J111" t="s">
        <v>292</v>
      </c>
      <c r="K111" t="s">
        <v>293</v>
      </c>
      <c r="L111" t="s">
        <v>162</v>
      </c>
      <c r="M111" t="str">
        <f t="shared" si="5"/>
        <v>88850</v>
      </c>
    </row>
    <row r="112" spans="1:13" x14ac:dyDescent="0.3">
      <c r="A112" t="s">
        <v>119</v>
      </c>
      <c r="B112" t="s">
        <v>164</v>
      </c>
      <c r="C112" t="s">
        <v>168</v>
      </c>
      <c r="D112">
        <v>31293</v>
      </c>
      <c r="F112">
        <v>2</v>
      </c>
      <c r="G112" t="s">
        <v>181</v>
      </c>
      <c r="H112" t="s">
        <v>264</v>
      </c>
      <c r="I112" t="str">
        <f t="shared" si="4"/>
        <v>EMP1110, Chris Lee</v>
      </c>
      <c r="J112" t="s">
        <v>296</v>
      </c>
      <c r="K112" t="s">
        <v>297</v>
      </c>
      <c r="L112" t="s">
        <v>164</v>
      </c>
      <c r="M112" t="str">
        <f t="shared" si="5"/>
        <v>31293</v>
      </c>
    </row>
    <row r="113" spans="1:13" x14ac:dyDescent="0.3">
      <c r="A113" t="s">
        <v>120</v>
      </c>
      <c r="B113" t="s">
        <v>164</v>
      </c>
      <c r="C113" t="s">
        <v>169</v>
      </c>
      <c r="D113">
        <v>34306</v>
      </c>
      <c r="E113" s="1">
        <v>42785</v>
      </c>
      <c r="F113">
        <v>5</v>
      </c>
      <c r="G113" t="s">
        <v>181</v>
      </c>
      <c r="H113" t="s">
        <v>239</v>
      </c>
      <c r="I113" t="str">
        <f t="shared" si="4"/>
        <v>EMP1111, Chris Lee</v>
      </c>
      <c r="J113" t="s">
        <v>296</v>
      </c>
      <c r="K113" t="s">
        <v>297</v>
      </c>
      <c r="L113" t="s">
        <v>164</v>
      </c>
      <c r="M113" t="str">
        <f t="shared" si="5"/>
        <v>34306</v>
      </c>
    </row>
    <row r="114" spans="1:13" x14ac:dyDescent="0.3">
      <c r="A114" t="s">
        <v>121</v>
      </c>
      <c r="B114" t="s">
        <v>159</v>
      </c>
      <c r="C114" t="s">
        <v>166</v>
      </c>
      <c r="D114">
        <v>78330</v>
      </c>
      <c r="E114" s="1">
        <v>42792</v>
      </c>
      <c r="G114" t="s">
        <v>179</v>
      </c>
      <c r="H114" t="s">
        <v>258</v>
      </c>
      <c r="I114" t="str">
        <f t="shared" si="4"/>
        <v>EMP1112, Eve Adams</v>
      </c>
      <c r="J114" t="s">
        <v>286</v>
      </c>
      <c r="K114" t="s">
        <v>287</v>
      </c>
      <c r="L114" t="s">
        <v>159</v>
      </c>
      <c r="M114" t="str">
        <f t="shared" si="5"/>
        <v>78330</v>
      </c>
    </row>
    <row r="115" spans="1:13" x14ac:dyDescent="0.3">
      <c r="A115" t="s">
        <v>122</v>
      </c>
      <c r="B115" t="s">
        <v>160</v>
      </c>
      <c r="C115" t="s">
        <v>169</v>
      </c>
      <c r="D115">
        <v>47653</v>
      </c>
      <c r="E115" s="1">
        <v>42799</v>
      </c>
      <c r="F115">
        <v>1</v>
      </c>
      <c r="G115" t="s">
        <v>180</v>
      </c>
      <c r="H115" t="s">
        <v>265</v>
      </c>
      <c r="I115" t="str">
        <f t="shared" si="4"/>
        <v>EMP1113, Alice Brown</v>
      </c>
      <c r="J115" t="s">
        <v>288</v>
      </c>
      <c r="K115" t="s">
        <v>289</v>
      </c>
      <c r="L115" t="s">
        <v>160</v>
      </c>
      <c r="M115" t="str">
        <f t="shared" si="5"/>
        <v>47653</v>
      </c>
    </row>
    <row r="116" spans="1:13" x14ac:dyDescent="0.3">
      <c r="A116" t="s">
        <v>123</v>
      </c>
      <c r="B116" t="s">
        <v>159</v>
      </c>
      <c r="C116" t="s">
        <v>170</v>
      </c>
      <c r="D116">
        <v>44627</v>
      </c>
      <c r="E116" s="1">
        <v>42806</v>
      </c>
      <c r="F116">
        <v>4</v>
      </c>
      <c r="H116" t="s">
        <v>235</v>
      </c>
      <c r="I116" t="str">
        <f t="shared" si="4"/>
        <v>EMP1114, Eve Adams</v>
      </c>
      <c r="J116" t="s">
        <v>286</v>
      </c>
      <c r="K116" t="s">
        <v>287</v>
      </c>
      <c r="L116" t="s">
        <v>159</v>
      </c>
      <c r="M116" t="str">
        <f t="shared" si="5"/>
        <v>44627</v>
      </c>
    </row>
    <row r="117" spans="1:13" x14ac:dyDescent="0.3">
      <c r="A117" t="s">
        <v>124</v>
      </c>
      <c r="B117" t="s">
        <v>165</v>
      </c>
      <c r="C117" t="s">
        <v>167</v>
      </c>
      <c r="D117">
        <v>92343</v>
      </c>
      <c r="E117" s="1">
        <v>42813</v>
      </c>
      <c r="F117">
        <v>4</v>
      </c>
      <c r="G117" t="s">
        <v>181</v>
      </c>
      <c r="H117" t="s">
        <v>203</v>
      </c>
      <c r="I117" t="str">
        <f t="shared" si="4"/>
        <v>EMP1115, Bob Johnson</v>
      </c>
      <c r="J117" t="s">
        <v>298</v>
      </c>
      <c r="K117" t="s">
        <v>299</v>
      </c>
      <c r="L117" t="s">
        <v>165</v>
      </c>
      <c r="M117" t="str">
        <f t="shared" si="5"/>
        <v>92343</v>
      </c>
    </row>
    <row r="118" spans="1:13" x14ac:dyDescent="0.3">
      <c r="A118" t="s">
        <v>125</v>
      </c>
      <c r="B118" t="s">
        <v>165</v>
      </c>
      <c r="C118" t="s">
        <v>170</v>
      </c>
      <c r="D118">
        <v>38837</v>
      </c>
      <c r="E118" s="1">
        <v>42820</v>
      </c>
      <c r="F118">
        <v>5</v>
      </c>
      <c r="G118" t="s">
        <v>181</v>
      </c>
      <c r="H118" t="s">
        <v>239</v>
      </c>
      <c r="I118" t="str">
        <f t="shared" si="4"/>
        <v>EMP1116, Bob Johnson</v>
      </c>
      <c r="J118" t="s">
        <v>298</v>
      </c>
      <c r="K118" t="s">
        <v>299</v>
      </c>
      <c r="L118" t="s">
        <v>165</v>
      </c>
      <c r="M118" t="str">
        <f t="shared" si="5"/>
        <v>38837</v>
      </c>
    </row>
    <row r="119" spans="1:13" x14ac:dyDescent="0.3">
      <c r="A119" t="s">
        <v>126</v>
      </c>
      <c r="B119" t="s">
        <v>165</v>
      </c>
      <c r="C119" t="s">
        <v>170</v>
      </c>
      <c r="D119">
        <v>73483</v>
      </c>
      <c r="E119" s="1">
        <v>42827</v>
      </c>
      <c r="F119">
        <v>1</v>
      </c>
      <c r="H119" t="s">
        <v>266</v>
      </c>
      <c r="I119" t="str">
        <f t="shared" si="4"/>
        <v>EMP1117, Bob Johnson</v>
      </c>
      <c r="J119" t="s">
        <v>298</v>
      </c>
      <c r="K119" t="s">
        <v>299</v>
      </c>
      <c r="L119" t="s">
        <v>165</v>
      </c>
      <c r="M119" t="str">
        <f t="shared" si="5"/>
        <v>73483</v>
      </c>
    </row>
    <row r="120" spans="1:13" x14ac:dyDescent="0.3">
      <c r="A120" t="s">
        <v>127</v>
      </c>
      <c r="B120" t="s">
        <v>164</v>
      </c>
      <c r="C120" t="s">
        <v>168</v>
      </c>
      <c r="D120">
        <v>95032</v>
      </c>
      <c r="E120" s="1">
        <v>42834</v>
      </c>
      <c r="F120">
        <v>3</v>
      </c>
      <c r="H120" t="s">
        <v>267</v>
      </c>
      <c r="I120" t="str">
        <f t="shared" si="4"/>
        <v>EMP1118, Chris Lee</v>
      </c>
      <c r="J120" t="s">
        <v>296</v>
      </c>
      <c r="K120" t="s">
        <v>297</v>
      </c>
      <c r="L120" t="s">
        <v>164</v>
      </c>
      <c r="M120" t="str">
        <f t="shared" si="5"/>
        <v>95032</v>
      </c>
    </row>
    <row r="121" spans="1:13" x14ac:dyDescent="0.3">
      <c r="A121" t="s">
        <v>128</v>
      </c>
      <c r="B121" t="s">
        <v>159</v>
      </c>
      <c r="C121" t="s">
        <v>168</v>
      </c>
      <c r="D121">
        <v>44358</v>
      </c>
      <c r="E121" s="1">
        <v>42841</v>
      </c>
      <c r="G121" t="s">
        <v>181</v>
      </c>
      <c r="H121" t="s">
        <v>200</v>
      </c>
      <c r="I121" t="str">
        <f t="shared" si="4"/>
        <v>EMP1119, Eve Adams</v>
      </c>
      <c r="J121" t="s">
        <v>286</v>
      </c>
      <c r="K121" t="s">
        <v>287</v>
      </c>
      <c r="L121" t="s">
        <v>159</v>
      </c>
      <c r="M121" t="str">
        <f t="shared" si="5"/>
        <v>44358</v>
      </c>
    </row>
    <row r="122" spans="1:13" x14ac:dyDescent="0.3">
      <c r="A122" t="s">
        <v>129</v>
      </c>
      <c r="B122" t="s">
        <v>171</v>
      </c>
      <c r="C122" t="s">
        <v>169</v>
      </c>
      <c r="D122" t="s">
        <v>177</v>
      </c>
      <c r="F122">
        <v>5</v>
      </c>
      <c r="G122" t="s">
        <v>178</v>
      </c>
      <c r="H122" t="s">
        <v>268</v>
      </c>
      <c r="I122" t="str">
        <f t="shared" si="4"/>
        <v xml:space="preserve">EMP1120,  </v>
      </c>
      <c r="M122" t="str">
        <f t="shared" si="5"/>
        <v>N/A</v>
      </c>
    </row>
    <row r="123" spans="1:13" x14ac:dyDescent="0.3">
      <c r="A123" t="s">
        <v>130</v>
      </c>
      <c r="B123" t="s">
        <v>164</v>
      </c>
      <c r="C123" t="s">
        <v>168</v>
      </c>
      <c r="D123">
        <v>45676</v>
      </c>
      <c r="E123" s="1">
        <v>42855</v>
      </c>
      <c r="F123">
        <v>2</v>
      </c>
      <c r="H123" t="s">
        <v>269</v>
      </c>
      <c r="I123" t="str">
        <f t="shared" si="4"/>
        <v>EMP1121, Chris Lee</v>
      </c>
      <c r="J123" t="s">
        <v>296</v>
      </c>
      <c r="K123" t="s">
        <v>297</v>
      </c>
      <c r="L123" t="s">
        <v>164</v>
      </c>
      <c r="M123" t="str">
        <f t="shared" si="5"/>
        <v>45676</v>
      </c>
    </row>
    <row r="124" spans="1:13" x14ac:dyDescent="0.3">
      <c r="A124" t="s">
        <v>131</v>
      </c>
      <c r="B124" t="s">
        <v>165</v>
      </c>
      <c r="C124" t="s">
        <v>168</v>
      </c>
      <c r="D124">
        <v>52036</v>
      </c>
      <c r="E124" s="1">
        <v>42862</v>
      </c>
      <c r="F124">
        <v>3</v>
      </c>
      <c r="G124" t="s">
        <v>180</v>
      </c>
      <c r="H124" t="s">
        <v>270</v>
      </c>
      <c r="I124" t="str">
        <f t="shared" si="4"/>
        <v>EMP1122, Bob Johnson</v>
      </c>
      <c r="J124" t="s">
        <v>298</v>
      </c>
      <c r="K124" t="s">
        <v>299</v>
      </c>
      <c r="L124" t="s">
        <v>165</v>
      </c>
      <c r="M124" t="str">
        <f t="shared" si="5"/>
        <v>52036</v>
      </c>
    </row>
    <row r="125" spans="1:13" x14ac:dyDescent="0.3">
      <c r="A125" t="s">
        <v>132</v>
      </c>
      <c r="B125" t="s">
        <v>162</v>
      </c>
      <c r="D125">
        <v>30357</v>
      </c>
      <c r="E125" s="1">
        <v>42869</v>
      </c>
      <c r="F125">
        <v>5</v>
      </c>
      <c r="G125" t="s">
        <v>180</v>
      </c>
      <c r="H125" t="s">
        <v>248</v>
      </c>
      <c r="I125" t="str">
        <f t="shared" si="4"/>
        <v>EMP1123, Jane Smith</v>
      </c>
      <c r="J125" t="s">
        <v>292</v>
      </c>
      <c r="K125" t="s">
        <v>293</v>
      </c>
      <c r="L125" t="s">
        <v>162</v>
      </c>
      <c r="M125" t="str">
        <f t="shared" si="5"/>
        <v>30357</v>
      </c>
    </row>
    <row r="126" spans="1:13" x14ac:dyDescent="0.3">
      <c r="A126" t="s">
        <v>133</v>
      </c>
      <c r="B126" t="s">
        <v>161</v>
      </c>
      <c r="C126" t="s">
        <v>169</v>
      </c>
      <c r="D126">
        <v>60034</v>
      </c>
      <c r="E126" s="1">
        <v>42876</v>
      </c>
      <c r="F126">
        <v>1</v>
      </c>
      <c r="G126" t="s">
        <v>181</v>
      </c>
      <c r="H126" t="s">
        <v>271</v>
      </c>
      <c r="I126" t="str">
        <f t="shared" si="4"/>
        <v>EMP1124, John Doe</v>
      </c>
      <c r="J126" t="s">
        <v>290</v>
      </c>
      <c r="K126" t="s">
        <v>291</v>
      </c>
      <c r="L126" t="s">
        <v>161</v>
      </c>
      <c r="M126" t="str">
        <f t="shared" si="5"/>
        <v>60034</v>
      </c>
    </row>
    <row r="127" spans="1:13" x14ac:dyDescent="0.3">
      <c r="A127" t="s">
        <v>134</v>
      </c>
      <c r="B127" t="s">
        <v>161</v>
      </c>
      <c r="C127" t="s">
        <v>166</v>
      </c>
      <c r="D127">
        <v>90019</v>
      </c>
      <c r="E127" s="1">
        <v>42883</v>
      </c>
      <c r="F127">
        <v>5</v>
      </c>
      <c r="H127" t="s">
        <v>272</v>
      </c>
      <c r="I127" t="str">
        <f t="shared" si="4"/>
        <v>EMP1125, John Doe</v>
      </c>
      <c r="J127" t="s">
        <v>290</v>
      </c>
      <c r="K127" t="s">
        <v>291</v>
      </c>
      <c r="L127" t="s">
        <v>161</v>
      </c>
      <c r="M127" t="str">
        <f t="shared" si="5"/>
        <v>90019</v>
      </c>
    </row>
    <row r="128" spans="1:13" x14ac:dyDescent="0.3">
      <c r="A128" t="s">
        <v>135</v>
      </c>
      <c r="B128" t="s">
        <v>165</v>
      </c>
      <c r="D128">
        <v>71494</v>
      </c>
      <c r="E128" s="1">
        <v>42890</v>
      </c>
      <c r="F128">
        <v>3</v>
      </c>
      <c r="G128" t="s">
        <v>180</v>
      </c>
      <c r="H128" t="s">
        <v>273</v>
      </c>
      <c r="I128" t="str">
        <f t="shared" si="4"/>
        <v>EMP1126, Bob Johnson</v>
      </c>
      <c r="J128" t="s">
        <v>298</v>
      </c>
      <c r="K128" t="s">
        <v>299</v>
      </c>
      <c r="L128" t="s">
        <v>165</v>
      </c>
      <c r="M128" t="str">
        <f t="shared" si="5"/>
        <v>71494</v>
      </c>
    </row>
    <row r="129" spans="1:13" x14ac:dyDescent="0.3">
      <c r="A129" t="s">
        <v>136</v>
      </c>
      <c r="B129" t="s">
        <v>161</v>
      </c>
      <c r="C129" t="s">
        <v>166</v>
      </c>
      <c r="D129">
        <v>91953</v>
      </c>
      <c r="E129" s="1">
        <v>42897</v>
      </c>
      <c r="F129">
        <v>2</v>
      </c>
      <c r="G129" t="s">
        <v>180</v>
      </c>
      <c r="H129" t="s">
        <v>209</v>
      </c>
      <c r="I129" t="str">
        <f t="shared" si="4"/>
        <v>EMP1127, John Doe</v>
      </c>
      <c r="J129" t="s">
        <v>290</v>
      </c>
      <c r="K129" t="s">
        <v>291</v>
      </c>
      <c r="L129" t="s">
        <v>161</v>
      </c>
      <c r="M129" t="str">
        <f t="shared" si="5"/>
        <v>91953</v>
      </c>
    </row>
    <row r="130" spans="1:13" x14ac:dyDescent="0.3">
      <c r="A130" t="s">
        <v>137</v>
      </c>
      <c r="B130" t="s">
        <v>164</v>
      </c>
      <c r="C130" t="s">
        <v>168</v>
      </c>
      <c r="D130">
        <v>30402</v>
      </c>
      <c r="E130" s="1">
        <v>42904</v>
      </c>
      <c r="F130">
        <v>1</v>
      </c>
      <c r="H130" t="s">
        <v>274</v>
      </c>
      <c r="I130" t="str">
        <f t="shared" si="4"/>
        <v>EMP1128, Chris Lee</v>
      </c>
      <c r="J130" t="s">
        <v>296</v>
      </c>
      <c r="K130" t="s">
        <v>297</v>
      </c>
      <c r="L130" t="s">
        <v>164</v>
      </c>
      <c r="M130" t="str">
        <f t="shared" ref="M130:M151" si="6">TRIM(D130)</f>
        <v>30402</v>
      </c>
    </row>
    <row r="131" spans="1:13" x14ac:dyDescent="0.3">
      <c r="A131" t="s">
        <v>138</v>
      </c>
      <c r="B131" t="s">
        <v>165</v>
      </c>
      <c r="D131">
        <v>62994</v>
      </c>
      <c r="E131" s="1">
        <v>42911</v>
      </c>
      <c r="H131" t="s">
        <v>221</v>
      </c>
      <c r="I131" t="str">
        <f t="shared" si="4"/>
        <v>EMP1129, Bob Johnson</v>
      </c>
      <c r="J131" t="s">
        <v>298</v>
      </c>
      <c r="K131" t="s">
        <v>299</v>
      </c>
      <c r="L131" t="s">
        <v>165</v>
      </c>
      <c r="M131" t="str">
        <f t="shared" si="6"/>
        <v>62994</v>
      </c>
    </row>
    <row r="132" spans="1:13" x14ac:dyDescent="0.3">
      <c r="A132" t="s">
        <v>139</v>
      </c>
      <c r="B132" t="s">
        <v>160</v>
      </c>
      <c r="C132" t="s">
        <v>168</v>
      </c>
      <c r="D132">
        <v>48289</v>
      </c>
      <c r="F132">
        <v>3</v>
      </c>
      <c r="G132" t="s">
        <v>180</v>
      </c>
      <c r="H132" t="s">
        <v>189</v>
      </c>
      <c r="I132" t="str">
        <f t="shared" ref="I132:I151" si="7">_xlfn.CONCAT(A132, ", ",B132)</f>
        <v>EMP1130, Alice Brown</v>
      </c>
      <c r="J132" t="s">
        <v>288</v>
      </c>
      <c r="K132" t="s">
        <v>289</v>
      </c>
      <c r="L132" t="s">
        <v>160</v>
      </c>
      <c r="M132" t="str">
        <f t="shared" si="6"/>
        <v>48289</v>
      </c>
    </row>
    <row r="133" spans="1:13" x14ac:dyDescent="0.3">
      <c r="A133" t="s">
        <v>140</v>
      </c>
      <c r="B133" t="s">
        <v>163</v>
      </c>
      <c r="C133" t="s">
        <v>170</v>
      </c>
      <c r="D133">
        <v>34402</v>
      </c>
      <c r="E133" s="1">
        <v>42925</v>
      </c>
      <c r="F133">
        <v>3</v>
      </c>
      <c r="G133" t="s">
        <v>179</v>
      </c>
      <c r="H133" t="s">
        <v>218</v>
      </c>
      <c r="I133" t="str">
        <f t="shared" si="7"/>
        <v>EMP1131, Sam Wilson</v>
      </c>
      <c r="J133" t="s">
        <v>294</v>
      </c>
      <c r="K133" t="s">
        <v>295</v>
      </c>
      <c r="L133" t="s">
        <v>163</v>
      </c>
      <c r="M133" t="str">
        <f t="shared" si="6"/>
        <v>34402</v>
      </c>
    </row>
    <row r="134" spans="1:13" x14ac:dyDescent="0.3">
      <c r="A134" t="s">
        <v>141</v>
      </c>
      <c r="B134" t="s">
        <v>159</v>
      </c>
      <c r="C134" t="s">
        <v>167</v>
      </c>
      <c r="D134">
        <v>38678</v>
      </c>
      <c r="E134" s="1">
        <v>42932</v>
      </c>
      <c r="F134">
        <v>3</v>
      </c>
      <c r="G134" t="s">
        <v>179</v>
      </c>
      <c r="H134" t="s">
        <v>275</v>
      </c>
      <c r="I134" t="str">
        <f t="shared" si="7"/>
        <v>EMP1132, Eve Adams</v>
      </c>
      <c r="J134" t="s">
        <v>286</v>
      </c>
      <c r="K134" t="s">
        <v>287</v>
      </c>
      <c r="L134" t="s">
        <v>159</v>
      </c>
      <c r="M134" t="str">
        <f t="shared" si="6"/>
        <v>38678</v>
      </c>
    </row>
    <row r="135" spans="1:13" x14ac:dyDescent="0.3">
      <c r="A135" t="s">
        <v>142</v>
      </c>
      <c r="B135" t="s">
        <v>164</v>
      </c>
      <c r="C135" t="s">
        <v>167</v>
      </c>
      <c r="D135">
        <v>45758</v>
      </c>
      <c r="E135" s="1">
        <v>42939</v>
      </c>
      <c r="F135">
        <v>3</v>
      </c>
      <c r="H135" t="s">
        <v>264</v>
      </c>
      <c r="I135" t="str">
        <f t="shared" si="7"/>
        <v>EMP1133, Chris Lee</v>
      </c>
      <c r="J135" t="s">
        <v>296</v>
      </c>
      <c r="K135" t="s">
        <v>297</v>
      </c>
      <c r="L135" t="s">
        <v>164</v>
      </c>
      <c r="M135" t="str">
        <f t="shared" si="6"/>
        <v>45758</v>
      </c>
    </row>
    <row r="136" spans="1:13" x14ac:dyDescent="0.3">
      <c r="A136" t="s">
        <v>143</v>
      </c>
      <c r="B136" t="s">
        <v>159</v>
      </c>
      <c r="C136" t="s">
        <v>170</v>
      </c>
      <c r="D136">
        <v>62476</v>
      </c>
      <c r="E136" s="1">
        <v>42946</v>
      </c>
      <c r="F136">
        <v>1</v>
      </c>
      <c r="G136" t="s">
        <v>179</v>
      </c>
      <c r="H136" t="s">
        <v>231</v>
      </c>
      <c r="I136" t="str">
        <f t="shared" si="7"/>
        <v>EMP1134, Eve Adams</v>
      </c>
      <c r="J136" t="s">
        <v>286</v>
      </c>
      <c r="K136" t="s">
        <v>287</v>
      </c>
      <c r="L136" t="s">
        <v>159</v>
      </c>
      <c r="M136" t="str">
        <f t="shared" si="6"/>
        <v>62476</v>
      </c>
    </row>
    <row r="137" spans="1:13" x14ac:dyDescent="0.3">
      <c r="A137" t="s">
        <v>144</v>
      </c>
      <c r="B137" t="s">
        <v>171</v>
      </c>
      <c r="C137" t="s">
        <v>169</v>
      </c>
      <c r="D137">
        <v>39280</v>
      </c>
      <c r="E137" s="1">
        <v>42953</v>
      </c>
      <c r="F137">
        <v>3</v>
      </c>
      <c r="G137" t="s">
        <v>181</v>
      </c>
      <c r="H137" t="s">
        <v>214</v>
      </c>
      <c r="I137" t="str">
        <f t="shared" si="7"/>
        <v xml:space="preserve">EMP1135,  </v>
      </c>
      <c r="M137" t="str">
        <f t="shared" si="6"/>
        <v>39280</v>
      </c>
    </row>
    <row r="138" spans="1:13" x14ac:dyDescent="0.3">
      <c r="A138" t="s">
        <v>145</v>
      </c>
      <c r="B138" t="s">
        <v>162</v>
      </c>
      <c r="C138" t="s">
        <v>166</v>
      </c>
      <c r="D138">
        <v>60335</v>
      </c>
      <c r="E138" s="1">
        <v>42960</v>
      </c>
      <c r="F138">
        <v>4</v>
      </c>
      <c r="G138" t="s">
        <v>179</v>
      </c>
      <c r="H138" t="s">
        <v>227</v>
      </c>
      <c r="I138" t="str">
        <f t="shared" si="7"/>
        <v>EMP1136, Jane Smith</v>
      </c>
      <c r="J138" t="s">
        <v>292</v>
      </c>
      <c r="K138" t="s">
        <v>293</v>
      </c>
      <c r="L138" t="s">
        <v>162</v>
      </c>
      <c r="M138" t="str">
        <f t="shared" si="6"/>
        <v>60335</v>
      </c>
    </row>
    <row r="139" spans="1:13" x14ac:dyDescent="0.3">
      <c r="A139" t="s">
        <v>146</v>
      </c>
      <c r="B139" t="s">
        <v>164</v>
      </c>
      <c r="C139" t="s">
        <v>167</v>
      </c>
      <c r="D139">
        <v>84968</v>
      </c>
      <c r="E139" s="1">
        <v>42967</v>
      </c>
      <c r="H139" t="s">
        <v>276</v>
      </c>
      <c r="I139" t="str">
        <f t="shared" si="7"/>
        <v>EMP1137, Chris Lee</v>
      </c>
      <c r="J139" t="s">
        <v>296</v>
      </c>
      <c r="K139" t="s">
        <v>297</v>
      </c>
      <c r="L139" t="s">
        <v>164</v>
      </c>
      <c r="M139" t="str">
        <f t="shared" si="6"/>
        <v>84968</v>
      </c>
    </row>
    <row r="140" spans="1:13" x14ac:dyDescent="0.3">
      <c r="A140" t="s">
        <v>147</v>
      </c>
      <c r="B140" t="s">
        <v>164</v>
      </c>
      <c r="C140" t="s">
        <v>170</v>
      </c>
      <c r="D140">
        <v>84750</v>
      </c>
      <c r="E140" s="1">
        <v>42974</v>
      </c>
      <c r="F140">
        <v>4</v>
      </c>
      <c r="G140" t="s">
        <v>181</v>
      </c>
      <c r="H140" t="s">
        <v>195</v>
      </c>
      <c r="I140" t="str">
        <f t="shared" si="7"/>
        <v>EMP1138, Chris Lee</v>
      </c>
      <c r="J140" t="s">
        <v>296</v>
      </c>
      <c r="K140" t="s">
        <v>297</v>
      </c>
      <c r="L140" t="s">
        <v>164</v>
      </c>
      <c r="M140" t="str">
        <f t="shared" si="6"/>
        <v>84750</v>
      </c>
    </row>
    <row r="141" spans="1:13" x14ac:dyDescent="0.3">
      <c r="A141" t="s">
        <v>148</v>
      </c>
      <c r="B141" t="s">
        <v>165</v>
      </c>
      <c r="C141" t="s">
        <v>169</v>
      </c>
      <c r="D141">
        <v>73348</v>
      </c>
      <c r="E141" s="1">
        <v>42981</v>
      </c>
      <c r="F141">
        <v>2</v>
      </c>
      <c r="H141" t="s">
        <v>243</v>
      </c>
      <c r="I141" t="str">
        <f t="shared" si="7"/>
        <v>EMP1139, Bob Johnson</v>
      </c>
      <c r="J141" t="s">
        <v>298</v>
      </c>
      <c r="K141" t="s">
        <v>299</v>
      </c>
      <c r="L141" t="s">
        <v>165</v>
      </c>
      <c r="M141" t="str">
        <f t="shared" si="6"/>
        <v>73348</v>
      </c>
    </row>
    <row r="142" spans="1:13" x14ac:dyDescent="0.3">
      <c r="A142" t="s">
        <v>149</v>
      </c>
      <c r="B142" t="s">
        <v>164</v>
      </c>
      <c r="C142" t="s">
        <v>168</v>
      </c>
      <c r="D142" t="s">
        <v>177</v>
      </c>
      <c r="E142" s="1">
        <v>42988</v>
      </c>
      <c r="F142">
        <v>4</v>
      </c>
      <c r="G142" t="s">
        <v>179</v>
      </c>
      <c r="H142" t="s">
        <v>182</v>
      </c>
      <c r="I142" t="str">
        <f t="shared" si="7"/>
        <v>EMP1140, Chris Lee</v>
      </c>
      <c r="J142" t="s">
        <v>296</v>
      </c>
      <c r="K142" t="s">
        <v>297</v>
      </c>
      <c r="L142" t="s">
        <v>164</v>
      </c>
      <c r="M142" t="str">
        <f t="shared" si="6"/>
        <v>N/A</v>
      </c>
    </row>
    <row r="143" spans="1:13" x14ac:dyDescent="0.3">
      <c r="A143" t="s">
        <v>150</v>
      </c>
      <c r="B143" t="s">
        <v>162</v>
      </c>
      <c r="C143" t="s">
        <v>170</v>
      </c>
      <c r="D143">
        <v>66882</v>
      </c>
      <c r="E143" s="1">
        <v>42995</v>
      </c>
      <c r="F143">
        <v>5</v>
      </c>
      <c r="G143" t="s">
        <v>179</v>
      </c>
      <c r="H143" t="s">
        <v>207</v>
      </c>
      <c r="I143" t="str">
        <f t="shared" si="7"/>
        <v>EMP1141, Jane Smith</v>
      </c>
      <c r="J143" t="s">
        <v>292</v>
      </c>
      <c r="K143" t="s">
        <v>293</v>
      </c>
      <c r="L143" t="s">
        <v>162</v>
      </c>
      <c r="M143" t="str">
        <f t="shared" si="6"/>
        <v>66882</v>
      </c>
    </row>
    <row r="144" spans="1:13" x14ac:dyDescent="0.3">
      <c r="A144" t="s">
        <v>151</v>
      </c>
      <c r="B144" t="s">
        <v>160</v>
      </c>
      <c r="C144" t="s">
        <v>170</v>
      </c>
      <c r="D144">
        <v>86775</v>
      </c>
      <c r="E144" s="1">
        <v>43002</v>
      </c>
      <c r="F144">
        <v>3</v>
      </c>
      <c r="G144" t="s">
        <v>179</v>
      </c>
      <c r="H144" t="s">
        <v>212</v>
      </c>
      <c r="I144" t="str">
        <f t="shared" si="7"/>
        <v>EMP1142, Alice Brown</v>
      </c>
      <c r="J144" t="s">
        <v>288</v>
      </c>
      <c r="K144" t="s">
        <v>289</v>
      </c>
      <c r="L144" t="s">
        <v>160</v>
      </c>
      <c r="M144" t="str">
        <f t="shared" si="6"/>
        <v>86775</v>
      </c>
    </row>
    <row r="145" spans="1:13" x14ac:dyDescent="0.3">
      <c r="A145" t="s">
        <v>152</v>
      </c>
      <c r="B145" t="s">
        <v>164</v>
      </c>
      <c r="C145" t="s">
        <v>168</v>
      </c>
      <c r="D145">
        <v>91620</v>
      </c>
      <c r="E145" s="1">
        <v>43009</v>
      </c>
      <c r="H145" t="s">
        <v>277</v>
      </c>
      <c r="I145" t="str">
        <f t="shared" si="7"/>
        <v>EMP1143, Chris Lee</v>
      </c>
      <c r="J145" t="s">
        <v>296</v>
      </c>
      <c r="K145" t="s">
        <v>297</v>
      </c>
      <c r="L145" t="s">
        <v>164</v>
      </c>
      <c r="M145" t="str">
        <f t="shared" si="6"/>
        <v>91620</v>
      </c>
    </row>
    <row r="146" spans="1:13" x14ac:dyDescent="0.3">
      <c r="A146" t="s">
        <v>153</v>
      </c>
      <c r="B146" t="s">
        <v>159</v>
      </c>
      <c r="D146">
        <v>94148</v>
      </c>
      <c r="E146" s="1">
        <v>43016</v>
      </c>
      <c r="F146">
        <v>2</v>
      </c>
      <c r="H146" t="s">
        <v>278</v>
      </c>
      <c r="I146" t="str">
        <f t="shared" si="7"/>
        <v>EMP1144, Eve Adams</v>
      </c>
      <c r="J146" t="s">
        <v>286</v>
      </c>
      <c r="K146" t="s">
        <v>287</v>
      </c>
      <c r="L146" t="s">
        <v>159</v>
      </c>
      <c r="M146" t="str">
        <f t="shared" si="6"/>
        <v>94148</v>
      </c>
    </row>
    <row r="147" spans="1:13" x14ac:dyDescent="0.3">
      <c r="A147" t="s">
        <v>154</v>
      </c>
      <c r="B147" t="s">
        <v>163</v>
      </c>
      <c r="C147" t="s">
        <v>168</v>
      </c>
      <c r="D147">
        <v>35627</v>
      </c>
      <c r="E147" s="1">
        <v>43023</v>
      </c>
      <c r="F147">
        <v>5</v>
      </c>
      <c r="G147" t="s">
        <v>181</v>
      </c>
      <c r="H147" t="s">
        <v>275</v>
      </c>
      <c r="I147" t="str">
        <f t="shared" si="7"/>
        <v>EMP1145, Sam Wilson</v>
      </c>
      <c r="J147" t="s">
        <v>294</v>
      </c>
      <c r="K147" t="s">
        <v>295</v>
      </c>
      <c r="L147" t="s">
        <v>163</v>
      </c>
      <c r="M147" t="str">
        <f t="shared" si="6"/>
        <v>35627</v>
      </c>
    </row>
    <row r="148" spans="1:13" x14ac:dyDescent="0.3">
      <c r="A148" t="s">
        <v>155</v>
      </c>
      <c r="B148" t="s">
        <v>161</v>
      </c>
      <c r="C148" t="s">
        <v>170</v>
      </c>
      <c r="D148">
        <v>57141</v>
      </c>
      <c r="E148" s="1">
        <v>43030</v>
      </c>
      <c r="F148">
        <v>2</v>
      </c>
      <c r="H148" t="s">
        <v>276</v>
      </c>
      <c r="I148" t="str">
        <f t="shared" si="7"/>
        <v>EMP1146, John Doe</v>
      </c>
      <c r="J148" t="s">
        <v>290</v>
      </c>
      <c r="K148" t="s">
        <v>291</v>
      </c>
      <c r="L148" t="s">
        <v>161</v>
      </c>
      <c r="M148" t="str">
        <f t="shared" si="6"/>
        <v>57141</v>
      </c>
    </row>
    <row r="149" spans="1:13" x14ac:dyDescent="0.3">
      <c r="A149" t="s">
        <v>156</v>
      </c>
      <c r="B149" t="s">
        <v>165</v>
      </c>
      <c r="C149" t="s">
        <v>168</v>
      </c>
      <c r="D149">
        <v>65270</v>
      </c>
      <c r="E149" s="1">
        <v>43037</v>
      </c>
      <c r="F149">
        <v>1</v>
      </c>
      <c r="H149" t="s">
        <v>279</v>
      </c>
      <c r="I149" t="str">
        <f t="shared" si="7"/>
        <v>EMP1147, Bob Johnson</v>
      </c>
      <c r="J149" t="s">
        <v>298</v>
      </c>
      <c r="K149" t="s">
        <v>299</v>
      </c>
      <c r="L149" t="s">
        <v>165</v>
      </c>
      <c r="M149" t="str">
        <f t="shared" si="6"/>
        <v>65270</v>
      </c>
    </row>
    <row r="150" spans="1:13" x14ac:dyDescent="0.3">
      <c r="A150" t="s">
        <v>157</v>
      </c>
      <c r="B150" t="s">
        <v>165</v>
      </c>
      <c r="D150">
        <v>67335</v>
      </c>
      <c r="E150" s="1">
        <v>43044</v>
      </c>
      <c r="F150">
        <v>1</v>
      </c>
      <c r="G150" t="s">
        <v>179</v>
      </c>
      <c r="H150" t="s">
        <v>233</v>
      </c>
      <c r="I150" t="str">
        <f t="shared" si="7"/>
        <v>EMP1148, Bob Johnson</v>
      </c>
      <c r="J150" t="s">
        <v>298</v>
      </c>
      <c r="K150" t="s">
        <v>299</v>
      </c>
      <c r="L150" t="s">
        <v>165</v>
      </c>
      <c r="M150" t="str">
        <f t="shared" si="6"/>
        <v>67335</v>
      </c>
    </row>
    <row r="151" spans="1:13" x14ac:dyDescent="0.3">
      <c r="A151" t="s">
        <v>158</v>
      </c>
      <c r="B151" t="s">
        <v>163</v>
      </c>
      <c r="C151" t="s">
        <v>170</v>
      </c>
      <c r="D151">
        <v>98475</v>
      </c>
      <c r="E151" s="1">
        <v>43051</v>
      </c>
      <c r="F151">
        <v>5</v>
      </c>
      <c r="G151" t="s">
        <v>179</v>
      </c>
      <c r="H151" t="s">
        <v>280</v>
      </c>
      <c r="I151" t="str">
        <f t="shared" si="7"/>
        <v>EMP1149, Sam Wilson</v>
      </c>
      <c r="J151" t="s">
        <v>294</v>
      </c>
      <c r="K151" t="s">
        <v>295</v>
      </c>
      <c r="L151" t="s">
        <v>163</v>
      </c>
      <c r="M151" t="str">
        <f t="shared" si="6"/>
        <v>98475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911C-C04C-4DB8-B6F7-9E2251772C86}">
  <dimension ref="A6:F11"/>
  <sheetViews>
    <sheetView tabSelected="1" workbookViewId="0">
      <selection activeCell="B13" sqref="B13"/>
    </sheetView>
  </sheetViews>
  <sheetFormatPr defaultRowHeight="14.4" x14ac:dyDescent="0.3"/>
  <cols>
    <col min="2" max="2" width="146.21875" customWidth="1"/>
    <col min="3" max="3" width="30.88671875" customWidth="1"/>
  </cols>
  <sheetData>
    <row r="6" spans="1:6" ht="15.6" x14ac:dyDescent="0.3">
      <c r="A6" s="8">
        <v>1</v>
      </c>
      <c r="B6" s="7" t="s">
        <v>307</v>
      </c>
      <c r="C6" s="7"/>
      <c r="D6" s="7"/>
      <c r="E6" s="3"/>
      <c r="F6" s="3"/>
    </row>
    <row r="7" spans="1:6" x14ac:dyDescent="0.3">
      <c r="A7" s="8">
        <v>2</v>
      </c>
      <c r="B7" s="7" t="s">
        <v>308</v>
      </c>
      <c r="C7" s="7"/>
      <c r="D7" s="7"/>
    </row>
    <row r="8" spans="1:6" x14ac:dyDescent="0.3">
      <c r="A8" s="8">
        <v>3</v>
      </c>
      <c r="B8" s="7" t="s">
        <v>302</v>
      </c>
      <c r="C8" s="7"/>
      <c r="D8" s="7"/>
    </row>
    <row r="9" spans="1:6" x14ac:dyDescent="0.3">
      <c r="A9" s="8">
        <v>4</v>
      </c>
      <c r="B9" s="7" t="s">
        <v>309</v>
      </c>
      <c r="C9" s="7"/>
      <c r="D9" s="7"/>
    </row>
    <row r="10" spans="1:6" x14ac:dyDescent="0.3">
      <c r="A10" s="8">
        <v>5</v>
      </c>
      <c r="B10" s="7" t="s">
        <v>304</v>
      </c>
      <c r="C10" s="7"/>
      <c r="D10" s="7"/>
    </row>
    <row r="11" spans="1:6" x14ac:dyDescent="0.3">
      <c r="A11" s="8">
        <v>6</v>
      </c>
      <c r="B11" s="7" t="s">
        <v>306</v>
      </c>
      <c r="C11" s="7"/>
      <c r="D1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dataset</vt:lpstr>
      <vt:lpstr>Task8</vt:lpstr>
      <vt:lpstr>Task-8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2026-06-24T14:47:50Z</dcterms:modified>
</cp:coreProperties>
</file>